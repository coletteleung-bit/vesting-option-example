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Assumptions" sheetId="3" state="visible" r:id="rId5"/>
    <sheet name="Base" sheetId="4" state="visible" r:id="rId6"/>
    <sheet name="Promo in T" sheetId="5" state="visible" r:id="rId7"/>
    <sheet name="Promo before T" sheetId="6" state="visible" r:id="rId8"/>
    <sheet name="Outsized 1.5x in 2030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<sst xmlns="http://schemas.openxmlformats.org/spreadsheetml/2006/main" count="1911" uniqueCount="278">
  <si>
    <t xml:space="preserve">Chainlink Labs  |  LTI transition model  |  Option 1 and Option 2</t>
  </si>
  <si>
    <t xml:space="preserve">Confidential, internal compensation strategy. Index: annual LTI target = 100.</t>
  </si>
  <si>
    <t xml:space="preserve">The two designs</t>
  </si>
  <si>
    <t xml:space="preserve">Option 1   grant and refreshes 100/15/5/5. Steady state 125.</t>
  </si>
  <si>
    <t xml:space="preserve">Option 2   new hire 100/50 at 1.15x. Refresh half = 0.5 x the person's target.</t>
  </si>
  <si>
    <t xml:space="preserve">           New hires settle at 115, existing employees keep 125, promoted people 230.</t>
  </si>
  <si>
    <t xml:space="preserve">RULES  -  normal year</t>
  </si>
  <si>
    <t xml:space="preserve">Option 1   one grant a year, full size. Y1 delivers 100, then 15 / 5 / 5.</t>
  </si>
  <si>
    <t xml:space="preserve">Option 2   one grant a year, full size. Half this year and half next year, where the</t>
  </si>
  <si>
    <t xml:space="preserve">           half is 0.5 x target: 57.5 for a new hire, 62.5 for an existing employee,</t>
  </si>
  <si>
    <t xml:space="preserve">           115 once promoted.</t>
  </si>
  <si>
    <t xml:space="preserve">Nothing is netted against what is already vesting. The grant is the same for everyone</t>
  </si>
  <si>
    <t xml:space="preserve">at the same level and rating.</t>
  </si>
  <si>
    <t xml:space="preserve">RULES  -  high performance</t>
  </si>
  <si>
    <t xml:space="preserve">Option 1   the grant is bigger. Y1 delivers 150 instead of 100, and the tail scales with</t>
  </si>
  <si>
    <t xml:space="preserve">           it, so 150 / 22.5 / 7.5 / 7.5. Total vest that year reaches 175.</t>
  </si>
  <si>
    <t xml:space="preserve">Option 2   the grant fills up to a 150 ceiling. Total vest reaches 150 in the award year</t>
  </si>
  <si>
    <t xml:space="preserve">           and stays at 150 the following year, because the second half is never clawed</t>
  </si>
  <si>
    <t xml:space="preserve">           back. It returns to 125 after that.</t>
  </si>
  <si>
    <t xml:space="preserve">Before the transition year   no high-performance grant. The person is still on a one-year</t>
  </si>
  <si>
    <t xml:space="preserve">           top-up while their legacy grant runs off.</t>
  </si>
  <si>
    <t xml:space="preserve">In the transition year   the gap grant fills to 150 instead of 125. The standardised tail</t>
  </si>
  <si>
    <t xml:space="preserve">           does not change. It stays at 25 / 10 / 5 whatever the rating.</t>
  </si>
  <si>
    <t xml:space="preserve">After the transition year   as described above.</t>
  </si>
  <si>
    <t xml:space="preserve">RULES  -  promotion</t>
  </si>
  <si>
    <t xml:space="preserve">Option 1   the promotion grant fills the gap up to 200. In the transition year or any</t>
  </si>
  <si>
    <t xml:space="preserve">           year before it, its shape follows the tail toggle: 100/15/5/5 when the toggle</t>
  </si>
  <si>
    <t xml:space="preserve">           is on, a one-year grant when it is off. After the transition year it is always</t>
  </si>
  <si>
    <t xml:space="preserve">           100/15/5/5. Every grant after the promotion is a full 200/30/10/10, so the</t>
  </si>
  <si>
    <t xml:space="preserve">           person builds to a 250 steady state. With the toggle on that build is about a</t>
  </si>
  <si>
    <t xml:space="preserve">           year faster, because the promotion grant contributes its own tail.</t>
  </si>
  <si>
    <t xml:space="preserve">Option 2   the promotion grant is a one-year grant filling the gap up to 230. The next</t>
  </si>
  <si>
    <t xml:space="preserve">           year's grant is a 100/50 at 230, then 50/50 at 115 a half from the year after.</t>
  </si>
  <si>
    <t xml:space="preserve">           The person is at 230 immediately and stays there.</t>
  </si>
  <si>
    <t xml:space="preserve">Promoted before the transition year   the promotion runs as above. When the transition</t>
  </si>
  <si>
    <t xml:space="preserve">           year arrives it is still treated as a transition year, at the promoted level.</t>
  </si>
  <si>
    <t xml:space="preserve">           Option 1 takes the gap up to 200 and then resumes 100/15/5/5. Option 2 takes</t>
  </si>
  <si>
    <t xml:space="preserve">           the gap up to 230 as a one-year grant, then the 100/50 at 230 the year after.</t>
  </si>
  <si>
    <t xml:space="preserve">Promoted in the transition year   the promotion grant replaces the transition package.</t>
  </si>
  <si>
    <t xml:space="preserve">           Option 1 issues no separate tail grant.</t>
  </si>
  <si>
    <t xml:space="preserve">Promoted after the transition year   the promotion grant runs as above with nothing extra.</t>
  </si>
  <si>
    <t xml:space="preserve">RULES  -  the transition year itself</t>
  </si>
  <si>
    <t xml:space="preserve">The transition year is the year the legacy grant stops covering target. It is shaded</t>
  </si>
  <si>
    <t xml:space="preserve">light yellow in every block. Promotion years are shown in bold blue.</t>
  </si>
  <si>
    <t xml:space="preserve">Before it   a one-year grant tops the person up to 125, with a floor of 0.25 x target</t>
  </si>
  <si>
    <t xml:space="preserve">            so nobody receives less than 25 even if their legacy vest is already high.</t>
  </si>
  <si>
    <t xml:space="preserve">            The performance multiplier applies to that floor, so 37.5 in a high-perf year.</t>
  </si>
  <si>
    <t xml:space="preserve">In it      Grant 1 is a one-year grant filling the gap up to 125, subject to the same</t>
  </si>
  <si>
    <t xml:space="preserve">           0.25 x target floor. Grant 2 lays down the</t>
  </si>
  <si>
    <t xml:space="preserve">           tail the person does not yet have: 0 / 25 / 10 / 5 under Option 1, and a</t>
  </si>
  <si>
    <t xml:space="preserve">           100/50 refresh starting the following year under Option 2.</t>
  </si>
  <si>
    <t xml:space="preserve">After it   the standard grant every year, full size, never netted.</t>
  </si>
  <si>
    <t xml:space="preserve">Gap-sizing only ever happens in the transition year and in a promotion year. Everywhere</t>
  </si>
  <si>
    <t xml:space="preserve">else the grant is full size, so the vesting shape and the performance multiplier both do</t>
  </si>
  <si>
    <t xml:space="preserve">real work.</t>
  </si>
  <si>
    <t xml:space="preserve">Layout</t>
  </si>
  <si>
    <t xml:space="preserve">Grants are rows, years are columns. Option 1 on the left, Option 2 on the right of the</t>
  </si>
  <si>
    <t xml:space="preserve">same block. Blue cells are inputs. Multipliers and vectors sit on Assumptions.</t>
  </si>
  <si>
    <t xml:space="preserve">Summary opens with the cost comparison: total grant face for each option and the delta.</t>
  </si>
  <si>
    <t xml:space="preserve">Open questions</t>
  </si>
  <si>
    <t xml:space="preserve">The same promotion pays 250 under Option 1 and 230 under Option 2, permanently.</t>
  </si>
  <si>
    <t xml:space="preserve">The same rating pays 175 for one year under Option 1 and 150 for two under Option 2.</t>
  </si>
  <si>
    <t xml:space="preserve">Under Option 2 a new hire settles at 115 while an existing employee keeps 125. The new</t>
  </si>
  <si>
    <t xml:space="preserve">hire is below the grandfathered population until they are promoted.</t>
  </si>
  <si>
    <t xml:space="preserve">Sources</t>
  </si>
  <si>
    <t xml:space="preserve">Design, ceiling rules and transition package specified by Colette, Aug 2026.</t>
  </si>
  <si>
    <t xml:space="preserve">LTI_Vesting_Model_PRD_v11.md  s6.1 to s6.4, s7.3, s12.1 registry.  session_handoff.md s11.</t>
  </si>
  <si>
    <t xml:space="preserve">Summary</t>
  </si>
  <si>
    <t xml:space="preserve">Index: annual LTI target = 100. Face = total grant value issued 2027 to 2035.</t>
  </si>
  <si>
    <t xml:space="preserve">Cost comparison   total grant face issued</t>
  </si>
  <si>
    <t xml:space="preserve">Option 1</t>
  </si>
  <si>
    <t xml:space="preserve">Option 2</t>
  </si>
  <si>
    <t xml:space="preserve">O2 - O1</t>
  </si>
  <si>
    <t xml:space="preserve">O2 vs O1</t>
  </si>
  <si>
    <t xml:space="preserve">Base</t>
  </si>
  <si>
    <t xml:space="preserve">   Persona A</t>
  </si>
  <si>
    <t xml:space="preserve">   Persona B</t>
  </si>
  <si>
    <t xml:space="preserve">   Persona C</t>
  </si>
  <si>
    <t xml:space="preserve">   Persona D</t>
  </si>
  <si>
    <t xml:space="preserve">   Persona E</t>
  </si>
  <si>
    <t xml:space="preserve">   Persona F</t>
  </si>
  <si>
    <t xml:space="preserve">   Persona G</t>
  </si>
  <si>
    <t xml:space="preserve">   Persona H</t>
  </si>
  <si>
    <t xml:space="preserve">   Total, all personas</t>
  </si>
  <si>
    <t xml:space="preserve">Promo in T</t>
  </si>
  <si>
    <t xml:space="preserve">Promo before T</t>
  </si>
  <si>
    <t xml:space="preserve">Outsized 1.5x in 2030</t>
  </si>
  <si>
    <t xml:space="preserve">Positive means Option 2 issues more grant value than Option 1.</t>
  </si>
  <si>
    <t xml:space="preserve">Built with the pre-transition tail toggle ON. Flip it on Assumptions to see Option 1 pre-transition grants revert to one-year.</t>
  </si>
  <si>
    <t xml:space="preserve">Each persona block carries a % of steady-state ceiling row so the overshoot years are visible, not buried in the totals.</t>
  </si>
  <si>
    <t xml:space="preserve">Total annual vest by 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</si>
  <si>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</si>
  <si>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</si>
  <si>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</si>
  <si>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</si>
  <si>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</si>
  <si>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</si>
  <si>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</si>
  <si>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</si>
  <si>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</si>
  <si>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Face</t>
  </si>
  <si>
    <t xml:space="preserve">Persona A   Option 1</t>
  </si>
  <si>
    <t xml:space="preserve">Persona A   Option 2</t>
  </si>
  <si>
    <t xml:space="preserve">Persona B   Option 1</t>
  </si>
  <si>
    <t xml:space="preserve">Persona B   Option 2</t>
  </si>
  <si>
    <t xml:space="preserve">Persona C   Option 1</t>
  </si>
  <si>
    <t xml:space="preserve">Persona C   Option 2</t>
  </si>
  <si>
    <t xml:space="preserve">Persona D   Option 1</t>
  </si>
  <si>
    <t xml:space="preserve">Persona D   Option 2</t>
  </si>
  <si>
    <t xml:space="preserve">Persona E   Option 1</t>
  </si>
  <si>
    <t xml:space="preserve">Persona E   Option 2</t>
  </si>
  <si>
    <t xml:space="preserve">Persona F   Option 1</t>
  </si>
  <si>
    <t xml:space="preserve">Persona F   Option 2</t>
  </si>
  <si>
    <t xml:space="preserve">Persona G   Option 1</t>
  </si>
  <si>
    <t xml:space="preserve">Persona G   Option 2</t>
  </si>
  <si>
    <t xml:space="preserve">Persona H   Option 1</t>
  </si>
  <si>
    <t xml:space="preserve">Persona H   Option 2</t>
  </si>
  <si>
    <t xml:space="preserve">Persona A   not applicable</t>
  </si>
  <si>
    <t xml:space="preserve">Persona F   not applicable</t>
  </si>
  <si>
    <t xml:space="preserve">Persona G   not applicable</t>
  </si>
  <si>
    <t xml:space="preserve">Assumptions</t>
  </si>
  <si>
    <t xml:space="preserve">Blue = input. Yellow = key assumption to confirm with Finance.</t>
  </si>
  <si>
    <t xml:space="preserve">Annual LTI target (index)</t>
  </si>
  <si>
    <t xml:space="preserve">All figures are % of the annual LTI target.</t>
  </si>
  <si>
    <t xml:space="preserve">Base ceiling (x target)</t>
  </si>
  <si>
    <t xml:space="preserve">Steady state, and the transition-year gap target.</t>
  </si>
  <si>
    <t xml:space="preserve">High-perf multiplier (x target)</t>
  </si>
  <si>
    <t xml:space="preserve">Opt 1: grant Y1 = 150. Opt 2: gap target = 150.</t>
  </si>
  <si>
    <t xml:space="preserve">Opt 1 promotion (x target)</t>
  </si>
  <si>
    <t xml:space="preserve">Promo-year gap target 200, then refreshes 200/30/10/10.</t>
  </si>
  <si>
    <t xml:space="preserve">Opt 2 new-hire premium (x target)</t>
  </si>
  <si>
    <t xml:space="preserve">Persona A only. NHG = 115 / 57.5.</t>
  </si>
  <si>
    <t xml:space="preserve">Opt 2 promotion target</t>
  </si>
  <si>
    <t xml:space="preserve">2 x 115. Applies to every persona once promoted.</t>
  </si>
  <si>
    <t xml:space="preserve">Opt 2 refresh factor (x target)</t>
  </si>
  <si>
    <t xml:space="preserve">Refresh half = this x the person's target: 57.5 / 62.5 / 115.</t>
  </si>
  <si>
    <t xml:space="preserve">Floor on gap grants (x target)</t>
  </si>
  <si>
    <t xml:space="preserve">Applies in T and pre-T years. Perf multiplier applies on top.</t>
  </si>
  <si>
    <t xml:space="preserve">Pre-transition tail toggle</t>
  </si>
  <si>
    <t xml:space="preserve">Option 1 only. Covers pre-transition top-ups AND promo grants in or before T. 1 = 100/15/5/5. 0 = one-year.</t>
  </si>
  <si>
    <t xml:space="preserve">Delivery vectors (multiples of the sizing column)</t>
  </si>
  <si>
    <t xml:space="preserve">Year 1</t>
  </si>
  <si>
    <t xml:space="preserve">Year 2</t>
  </si>
  <si>
    <t xml:space="preserve">Year 3</t>
  </si>
  <si>
    <t xml:space="preserve">Year 4</t>
  </si>
  <si>
    <t xml:space="preserve">Face / sizing</t>
  </si>
  <si>
    <t xml:space="preserve">Opt 1 shaped  100/15/5/5</t>
  </si>
  <si>
    <t xml:space="preserve">New hire, refresh and promo grants.</t>
  </si>
  <si>
    <t xml:space="preserve">Opt 2 two-year equal</t>
  </si>
  <si>
    <t xml:space="preserve">Half now, half next year. Half = 0.5 x target.</t>
  </si>
  <si>
    <t xml:space="preserve">Opt 2 100/50</t>
  </si>
  <si>
    <t xml:space="preserve">New hire, collapsed transition grant, post-promo grant.</t>
  </si>
  <si>
    <t xml:space="preserve">Opt 2 100/50 starting T+1</t>
  </si>
  <si>
    <t xml:space="preserve">Used when legacy leaves no room in T.</t>
  </si>
  <si>
    <t xml:space="preserve">One-year grant</t>
  </si>
  <si>
    <t xml:space="preserve">Pre-transition top-up and transition Grant 1.</t>
  </si>
  <si>
    <t xml:space="preserve">Opt 1 transition tail</t>
  </si>
  <si>
    <t xml:space="preserve">Sizing column holds target. Never perf-scaled.</t>
  </si>
  <si>
    <t xml:space="preserve">Opt 1 pre-transition / promo grant</t>
  </si>
  <si>
    <t xml:space="preserve">Driven by the tail toggle above.</t>
  </si>
  <si>
    <t xml:space="preserve">Personas and transition year T</t>
  </si>
  <si>
    <t xml:space="preserve">Persona A</t>
  </si>
  <si>
    <t xml:space="preserve">new hire 2027, no legacy grant</t>
  </si>
  <si>
    <t xml:space="preserve">Persona B</t>
  </si>
  <si>
    <t xml:space="preserve">hired 2026, 0 of target vesting in the transition year</t>
  </si>
  <si>
    <t xml:space="preserve">Persona C</t>
  </si>
  <si>
    <t xml:space="preserve">hired 2026, 25 of target vesting in the transition year</t>
  </si>
  <si>
    <t xml:space="preserve">Persona D</t>
  </si>
  <si>
    <t xml:space="preserve">hired 2026, 50 of target vesting in the transition year</t>
  </si>
  <si>
    <t xml:space="preserve">Persona E</t>
  </si>
  <si>
    <t xml:space="preserve">hired 2026, 75 of target vesting in the transition year</t>
  </si>
  <si>
    <t xml:space="preserve">Persona F</t>
  </si>
  <si>
    <t xml:space="preserve">hired 2023, 50 of target vesting in the transition year</t>
  </si>
  <si>
    <t xml:space="preserve">Persona G</t>
  </si>
  <si>
    <t xml:space="preserve">hired 2023, 75 of target vesting in the transition year</t>
  </si>
  <si>
    <t xml:space="preserve">Persona H</t>
  </si>
  <si>
    <t xml:space="preserve">hired 2024, 125 of target vesting in the transition year</t>
  </si>
  <si>
    <t xml:space="preserve">Scenario: Base</t>
  </si>
  <si>
    <t xml:space="preserve">Grants in rows, years in columns. Option 1 left, Option 2 right. Index: annual LTI target = 100.</t>
  </si>
  <si>
    <t xml:space="preserve">Persona A   new hire 2027, no legacy grant   transition year 2027</t>
  </si>
  <si>
    <t xml:space="preserve">Option 1   100/15/5/5</t>
  </si>
  <si>
    <t xml:space="preserve">Sizing</t>
  </si>
  <si>
    <t xml:space="preserve">Option 2   100/50 and 50/50</t>
  </si>
  <si>
    <t xml:space="preserve">Gap target (used only in T and promo years)</t>
  </si>
  <si>
    <t xml:space="preserve">Legacy scheduled vest</t>
  </si>
  <si>
    <t xml:space="preserve">2027  new hire 100/15/5/5</t>
  </si>
  <si>
    <t xml:space="preserve">2027  new hire 100/50 at 1.15x</t>
  </si>
  <si>
    <t xml:space="preserve">2028  refresh 100/15/5/5</t>
  </si>
  <si>
    <t xml:space="preserve">2028  refresh 50/50 at 115</t>
  </si>
  <si>
    <t xml:space="preserve">2029  refresh 100/15/5/5</t>
  </si>
  <si>
    <t xml:space="preserve">2029  refresh 50/50 at 115</t>
  </si>
  <si>
    <t xml:space="preserve">2030  refresh 100/15/5/5</t>
  </si>
  <si>
    <t xml:space="preserve">2030  refresh 50/50 at 115</t>
  </si>
  <si>
    <t xml:space="preserve">2031  refresh 100/15/5/5</t>
  </si>
  <si>
    <t xml:space="preserve">2031  refresh 50/50 at 115</t>
  </si>
  <si>
    <t xml:space="preserve">2032  refresh 100/15/5/5</t>
  </si>
  <si>
    <t xml:space="preserve">2032  refresh 50/50 at 115</t>
  </si>
  <si>
    <t xml:space="preserve">2033  refresh 100/15/5/5</t>
  </si>
  <si>
    <t xml:space="preserve">2033  refresh 50/50 at 115</t>
  </si>
  <si>
    <t xml:space="preserve">2034  refresh 100/15/5/5</t>
  </si>
  <si>
    <t xml:space="preserve">2034  refresh 50/50 at 115</t>
  </si>
  <si>
    <t xml:space="preserve">2035  refresh 100/15/5/5</t>
  </si>
  <si>
    <t xml:space="preserve">2035  refresh 50/50 at 115</t>
  </si>
  <si>
    <t xml:space="preserve">Total annual vest</t>
  </si>
  <si>
    <t xml:space="preserve">Total</t>
  </si>
  <si>
    <t xml:space="preserve">% of steady-state ceiling</t>
  </si>
  <si>
    <t xml:space="preserve">Change vs prior year</t>
  </si>
  <si>
    <t xml:space="preserve">Persona B   hired 2026, 0 of target vesting in the transition year   transition year 2030</t>
  </si>
  <si>
    <t xml:space="preserve">2027  pre-transition top-up</t>
  </si>
  <si>
    <t xml:space="preserve">2027  pre-transition top-up (1 year)</t>
  </si>
  <si>
    <t xml:space="preserve">2028  pre-transition top-up</t>
  </si>
  <si>
    <t xml:space="preserve">2028  pre-transition top-up (1 year)</t>
  </si>
  <si>
    <t xml:space="preserve">2029  pre-transition top-up</t>
  </si>
  <si>
    <t xml:space="preserve">2029  pre-transition top-up (1 year)</t>
  </si>
  <si>
    <t xml:space="preserve">2030  transition Grant 1 (gap on legacy)</t>
  </si>
  <si>
    <t xml:space="preserve">2030  transition 100/50 at 125</t>
  </si>
  <si>
    <t xml:space="preserve">2030  transition Grant 2  tail 0/25/10/5</t>
  </si>
  <si>
    <t xml:space="preserve">2031  refresh 50/50</t>
  </si>
  <si>
    <t xml:space="preserve">2032  refresh 50/50</t>
  </si>
  <si>
    <t xml:space="preserve">2033  refresh 50/50</t>
  </si>
  <si>
    <t xml:space="preserve">2034  refresh 50/50</t>
  </si>
  <si>
    <t xml:space="preserve">2035  refresh 50/50</t>
  </si>
  <si>
    <t xml:space="preserve">Persona C   hired 2026, 25 of target vesting in the transition year   transition year 2030</t>
  </si>
  <si>
    <t xml:space="preserve">2030  transition Grant 1 (gap)</t>
  </si>
  <si>
    <t xml:space="preserve">2030  transition Grant 2  2-yr equal</t>
  </si>
  <si>
    <t xml:space="preserve">Persona D   hired 2026, 50 of target vesting in the transition year   transition year 2030</t>
  </si>
  <si>
    <t xml:space="preserve">2031  Refresh grant 100/50 at 125</t>
  </si>
  <si>
    <t xml:space="preserve">Persona E   hired 2026, 75 of target vesting in the transition year   transition year 2030</t>
  </si>
  <si>
    <t xml:space="preserve">Persona F   hired 2023, 50 of target vesting in the transition year   transition year 2027</t>
  </si>
  <si>
    <t xml:space="preserve">2027  transition Grant 1 (gap on legacy)</t>
  </si>
  <si>
    <t xml:space="preserve">2027  transition Grant 1 (gap)</t>
  </si>
  <si>
    <t xml:space="preserve">2027  transition Grant 2  tail 0/25/10/5</t>
  </si>
  <si>
    <t xml:space="preserve">2028  Refresh grant 100/50 at 125</t>
  </si>
  <si>
    <t xml:space="preserve">2029  refresh 50/50</t>
  </si>
  <si>
    <t xml:space="preserve">2030  refresh 50/50</t>
  </si>
  <si>
    <t xml:space="preserve">Persona G   hired 2023, 75 of target vesting in the transition year   transition year 2027</t>
  </si>
  <si>
    <t xml:space="preserve">Persona H   hired 2024, 125 of target vesting in the transition year   transition year 2028</t>
  </si>
  <si>
    <t xml:space="preserve">2028  transition Grant 1 (gap on legacy)</t>
  </si>
  <si>
    <t xml:space="preserve">2028  transition Grant 1 (gap)</t>
  </si>
  <si>
    <t xml:space="preserve">2028  transition Grant 2  tail 0/25/10/5</t>
  </si>
  <si>
    <t xml:space="preserve">2029  Refresh grant 100/50 at 125</t>
  </si>
  <si>
    <t xml:space="preserve">Scenario: Promo in T</t>
  </si>
  <si>
    <t xml:space="preserve">2029  promo 100/15/5/5</t>
  </si>
  <si>
    <t xml:space="preserve">2029  promo one-year (gap to 230)</t>
  </si>
  <si>
    <t xml:space="preserve">2030  refresh 200/30/10/10</t>
  </si>
  <si>
    <t xml:space="preserve">2030  post-promo 100/50 at 230</t>
  </si>
  <si>
    <t xml:space="preserve">2031  refresh 200/30/10/10</t>
  </si>
  <si>
    <t xml:space="preserve">2031  refresh 50/50 at 230</t>
  </si>
  <si>
    <t xml:space="preserve">2032  refresh 200/30/10/10</t>
  </si>
  <si>
    <t xml:space="preserve">2032  refresh 50/50 at 230</t>
  </si>
  <si>
    <t xml:space="preserve">2033  refresh 200/30/10/10</t>
  </si>
  <si>
    <t xml:space="preserve">2033  refresh 50/50 at 230</t>
  </si>
  <si>
    <t xml:space="preserve">2034  refresh 200/30/10/10</t>
  </si>
  <si>
    <t xml:space="preserve">2034  refresh 50/50 at 230</t>
  </si>
  <si>
    <t xml:space="preserve">2035  refresh 200/30/10/10</t>
  </si>
  <si>
    <t xml:space="preserve">2035  refresh 50/50 at 230</t>
  </si>
  <si>
    <t xml:space="preserve">2030  promo grant (gap to 200)</t>
  </si>
  <si>
    <t xml:space="preserve">2030  transition 100/50 at 230</t>
  </si>
  <si>
    <t xml:space="preserve">2027  promo grant (gap to 200)</t>
  </si>
  <si>
    <t xml:space="preserve">2028  refresh 200/30/10/10</t>
  </si>
  <si>
    <t xml:space="preserve">2027  transition Grant 2  2-yr equal</t>
  </si>
  <si>
    <t xml:space="preserve">2029  refresh 200/30/10/10</t>
  </si>
  <si>
    <t xml:space="preserve">2028  refresh 50/50 at 230</t>
  </si>
  <si>
    <t xml:space="preserve">2029  refresh 50/50 at 230</t>
  </si>
  <si>
    <t xml:space="preserve">2030  refresh 50/50 at 230</t>
  </si>
  <si>
    <t xml:space="preserve">2028  promo grant (gap to 200)</t>
  </si>
  <si>
    <t xml:space="preserve">2029  Refresh grant 100/50 at 230</t>
  </si>
  <si>
    <t xml:space="preserve">Scenario: Promo before T</t>
  </si>
  <si>
    <t xml:space="preserve">Not applicable. The transition year is 2027, the first year of the new programme, so there is no year before it.</t>
  </si>
  <si>
    <t xml:space="preserve">2029  promo grant (gap to 200)</t>
  </si>
  <si>
    <t xml:space="preserve">2030  transition 100/15/5/5 (gap to 200)</t>
  </si>
  <si>
    <t xml:space="preserve">2027  promo one-year (gap to 230)</t>
  </si>
  <si>
    <t xml:space="preserve">2028  transition 100/15/5/5 (gap to 200)</t>
  </si>
  <si>
    <t xml:space="preserve">Scenario: Outsized 1.5x in 2030</t>
  </si>
  <si>
    <t xml:space="preserve">2030  refresh 150/22.5/7.5/7.5</t>
  </si>
  <si>
    <t xml:space="preserve">2030  refresh 50/50 (gap to 150)</t>
  </si>
  <si>
    <t xml:space="preserve">2030  transition 100/50 at 150</t>
  </si>
  <si>
    <t xml:space="preserve">2031  Refresh grant 100/50 at 150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</si>
</sst>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-"/>
    <numFmt numFmtId="166" formatCode="\+#,##0.0;\-#,##0.0;\-"/>
    <numFmt numFmtId="167" formatCode="\+0.0%;\-0.0%;\-"/>
    <numFmt numFmtId="168" formatCode="#,##0"/>
    <numFmt numFmtId="169" formatCode="0.00"/>
    <numFmt numFmtId="170" formatCode="0"/>
    <numFmt numFmtId="171" formatCode="0.000"/>
    <numFmt numFmtId="172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01C"/>
      <name val="Inter"/>
      <family val="0"/>
      <charset val="1"/>
    </font>
    <font>
      <sz val="8.5"/>
      <color rgb="FF4A5568"/>
      <name val="Inter"/>
      <family val="0"/>
      <charset val="1"/>
    </font>
    <font>
      <b val="true"/>
      <sz val="9"/>
      <color rgb="FF0B101C"/>
      <name val="Inter"/>
      <family val="0"/>
      <charset val="1"/>
    </font>
    <font>
      <sz val="9"/>
      <color rgb="FF0B101C"/>
      <name val="Inter"/>
      <family val="0"/>
      <charset val="1"/>
    </font>
    <font>
      <b val="true"/>
      <sz val="9.5"/>
      <color rgb="FFFFFFFF"/>
      <name val="Inter"/>
      <family val="0"/>
      <charset val="1"/>
    </font>
    <font>
      <sz val="9"/>
      <color rgb="FF008000"/>
      <name val="Inter"/>
      <family val="0"/>
      <charset val="1"/>
    </font>
    <font>
      <sz val="9"/>
      <color rgb="FF000000"/>
      <name val="Inter"/>
      <family val="0"/>
      <charset val="1"/>
    </font>
    <font>
      <sz val="9"/>
      <color rgb="FF0000FF"/>
      <name val="Inter"/>
      <family val="0"/>
      <charset val="1"/>
    </font>
    <font>
      <b val="true"/>
      <sz val="8.5"/>
      <color rgb="FF0847F7"/>
      <name val="Inter"/>
      <family val="0"/>
      <charset val="1"/>
    </font>
    <font>
      <b val="true"/>
      <sz val="9"/>
      <color rgb="FF0847F7"/>
      <name val="Inte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847F7"/>
        <bgColor rgb="FF3366FF"/>
      </patternFill>
    </fill>
    <fill>
      <patternFill patternType="solid">
        <fgColor rgb="FFE7ECF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07A1E"/>
        <bgColor rgb="FF808080"/>
      </patternFill>
    </fill>
    <fill>
      <patternFill patternType="solid">
        <fgColor rgb="FFFFF6D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EA"/>
      </left>
      <right style="thin">
        <color rgb="FFC8D3EA"/>
      </right>
      <top style="thin">
        <color rgb="FFC8D3EA"/>
      </top>
      <bottom style="thin">
        <color rgb="FFC8D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1E"/>
      <rgbColor rgb="FF800080"/>
      <rgbColor rgb="FF008080"/>
      <rgbColor rgb="FFC0C0C0"/>
      <rgbColor rgb="FF808080"/>
      <rgbColor rgb="FF9999FF"/>
      <rgbColor rgb="FF993366"/>
      <rgbColor rgb="FFFFF6D0"/>
      <rgbColor rgb="FFE7ECF7"/>
      <rgbColor rgb="FF660066"/>
      <rgbColor rgb="FFFF8080"/>
      <rgbColor rgb="FF0847F7"/>
      <rgbColor rgb="FFC8D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B10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4"/>
    </row>
    <row r="30" customFormat="false" ht="15" hidden="false" customHeight="false" outlineLevel="0" collapsed="false">
      <c r="B30" s="3" t="s">
        <v>24</v>
      </c>
    </row>
    <row r="31" customFormat="false" ht="15" hidden="false" customHeight="false" outlineLevel="0" collapsed="false">
      <c r="B31" s="4" t="s">
        <v>25</v>
      </c>
    </row>
    <row r="32" customFormat="false" ht="15" hidden="false" customHeight="false" outlineLevel="0" collapsed="false">
      <c r="B32" s="4" t="s">
        <v>26</v>
      </c>
    </row>
    <row r="33" customFormat="false" ht="15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4" t="s">
        <v>28</v>
      </c>
    </row>
    <row r="35" customFormat="false" ht="15" hidden="false" customHeight="false" outlineLevel="0" collapsed="false">
      <c r="B35" s="4" t="s">
        <v>29</v>
      </c>
    </row>
    <row r="36" customFormat="false" ht="15" hidden="false" customHeight="false" outlineLevel="0" collapsed="false">
      <c r="B36" s="4" t="s">
        <v>30</v>
      </c>
    </row>
    <row r="37" customFormat="false" ht="15" hidden="false" customHeight="false" outlineLevel="0" collapsed="false">
      <c r="B37" s="4" t="s">
        <v>31</v>
      </c>
    </row>
    <row r="38" customFormat="false" ht="15" hidden="false" customHeight="false" outlineLevel="0" collapsed="false">
      <c r="B38" s="4" t="s">
        <v>32</v>
      </c>
    </row>
    <row r="39" customFormat="false" ht="15" hidden="false" customHeight="false" outlineLevel="0" collapsed="false">
      <c r="B39" s="4" t="s">
        <v>33</v>
      </c>
    </row>
    <row r="40" customFormat="false" ht="15" hidden="false" customHeight="false" outlineLevel="0" collapsed="false">
      <c r="B40" s="4" t="s">
        <v>34</v>
      </c>
    </row>
    <row r="41" customFormat="false" ht="15" hidden="false" customHeight="false" outlineLevel="0" collapsed="false">
      <c r="B41" s="4" t="s">
        <v>35</v>
      </c>
    </row>
    <row r="42" customFormat="false" ht="15" hidden="false" customHeight="false" outlineLevel="0" collapsed="false">
      <c r="B42" s="4" t="s">
        <v>36</v>
      </c>
    </row>
    <row r="43" customFormat="false" ht="15" hidden="false" customHeight="false" outlineLevel="0" collapsed="false">
      <c r="B43" s="4" t="s">
        <v>37</v>
      </c>
    </row>
    <row r="44" customFormat="false" ht="15" hidden="false" customHeight="false" outlineLevel="0" collapsed="false">
      <c r="B44" s="4" t="s">
        <v>38</v>
      </c>
    </row>
    <row r="45" customFormat="false" ht="15" hidden="false" customHeight="false" outlineLevel="0" collapsed="false">
      <c r="B45" s="4" t="s">
        <v>39</v>
      </c>
    </row>
    <row r="46" customFormat="false" ht="15" hidden="false" customHeight="false" outlineLevel="0" collapsed="false">
      <c r="B46" s="4" t="s">
        <v>40</v>
      </c>
    </row>
    <row r="47" customFormat="false" ht="15" hidden="false" customHeight="false" outlineLevel="0" collapsed="false">
      <c r="B47" s="4"/>
    </row>
    <row r="48" customFormat="false" ht="15" hidden="false" customHeight="false" outlineLevel="0" collapsed="false">
      <c r="B48" s="3" t="s">
        <v>41</v>
      </c>
    </row>
    <row r="49" customFormat="false" ht="15" hidden="false" customHeight="false" outlineLevel="0" collapsed="false">
      <c r="B49" s="4" t="s">
        <v>42</v>
      </c>
    </row>
    <row r="50" customFormat="false" ht="15" hidden="false" customHeight="false" outlineLevel="0" collapsed="false">
      <c r="B50" s="4" t="s">
        <v>43</v>
      </c>
    </row>
    <row r="51" customFormat="false" ht="15" hidden="false" customHeight="false" outlineLevel="0" collapsed="false">
      <c r="B51" s="4" t="s">
        <v>44</v>
      </c>
    </row>
    <row r="52" customFormat="false" ht="15" hidden="false" customHeight="false" outlineLevel="0" collapsed="false">
      <c r="B52" s="4" t="s">
        <v>45</v>
      </c>
    </row>
    <row r="53" customFormat="false" ht="15" hidden="false" customHeight="false" outlineLevel="0" collapsed="false">
      <c r="B53" s="4" t="s">
        <v>46</v>
      </c>
    </row>
    <row r="54" customFormat="false" ht="15" hidden="false" customHeight="false" outlineLevel="0" collapsed="false">
      <c r="B54" s="4" t="s">
        <v>47</v>
      </c>
    </row>
    <row r="55" customFormat="false" ht="15" hidden="false" customHeight="false" outlineLevel="0" collapsed="false">
      <c r="B55" s="4" t="s">
        <v>48</v>
      </c>
    </row>
    <row r="56" customFormat="false" ht="15" hidden="false" customHeight="false" outlineLevel="0" collapsed="false">
      <c r="B56" s="4" t="s">
        <v>49</v>
      </c>
    </row>
    <row r="57" customFormat="false" ht="15" hidden="false" customHeight="false" outlineLevel="0" collapsed="false">
      <c r="B57" s="4" t="s">
        <v>50</v>
      </c>
    </row>
    <row r="58" customFormat="false" ht="15" hidden="false" customHeight="false" outlineLevel="0" collapsed="false">
      <c r="B58" s="4" t="s">
        <v>51</v>
      </c>
    </row>
    <row r="59" customFormat="false" ht="15" hidden="false" customHeight="false" outlineLevel="0" collapsed="false">
      <c r="B59" s="4"/>
    </row>
    <row r="60" customFormat="false" ht="15" hidden="false" customHeight="false" outlineLevel="0" collapsed="false">
      <c r="B60" s="4" t="s">
        <v>52</v>
      </c>
    </row>
    <row r="61" customFormat="false" ht="15" hidden="false" customHeight="false" outlineLevel="0" collapsed="false">
      <c r="B61" s="4" t="s">
        <v>53</v>
      </c>
    </row>
    <row r="62" customFormat="false" ht="15" hidden="false" customHeight="false" outlineLevel="0" collapsed="false">
      <c r="B62" s="4" t="s">
        <v>54</v>
      </c>
    </row>
    <row r="63" customFormat="false" ht="15" hidden="false" customHeight="false" outlineLevel="0" collapsed="false">
      <c r="B63" s="4"/>
    </row>
    <row r="64" customFormat="false" ht="15" hidden="false" customHeight="false" outlineLevel="0" collapsed="false">
      <c r="B64" s="3" t="s">
        <v>55</v>
      </c>
    </row>
    <row r="65" customFormat="false" ht="15" hidden="false" customHeight="false" outlineLevel="0" collapsed="false">
      <c r="B65" s="4" t="s">
        <v>56</v>
      </c>
    </row>
    <row r="66" customFormat="false" ht="15" hidden="false" customHeight="false" outlineLevel="0" collapsed="false">
      <c r="B66" s="4" t="s">
        <v>57</v>
      </c>
    </row>
    <row r="67" customFormat="false" ht="15" hidden="false" customHeight="false" outlineLevel="0" collapsed="false">
      <c r="B67" s="4" t="s">
        <v>58</v>
      </c>
    </row>
    <row r="68" customFormat="false" ht="15" hidden="false" customHeight="false" outlineLevel="0" collapsed="false">
      <c r="B68" s="4"/>
    </row>
    <row r="69" customFormat="false" ht="15" hidden="false" customHeight="false" outlineLevel="0" collapsed="false">
      <c r="B69" s="3" t="s">
        <v>59</v>
      </c>
    </row>
    <row r="70" customFormat="false" ht="15" hidden="false" customHeight="false" outlineLevel="0" collapsed="false">
      <c r="B70" s="4" t="s">
        <v>60</v>
      </c>
    </row>
    <row r="71" customFormat="false" ht="15" hidden="false" customHeight="false" outlineLevel="0" collapsed="false">
      <c r="B71" s="4" t="s">
        <v>61</v>
      </c>
    </row>
    <row r="72" customFormat="false" ht="15" hidden="false" customHeight="false" outlineLevel="0" collapsed="false">
      <c r="B72" s="4" t="s">
        <v>62</v>
      </c>
    </row>
    <row r="73" customFormat="false" ht="15" hidden="false" customHeight="false" outlineLevel="0" collapsed="false">
      <c r="B73" s="4" t="s">
        <v>63</v>
      </c>
    </row>
    <row r="74" customFormat="false" ht="15" hidden="false" customHeight="false" outlineLevel="0" collapsed="false">
      <c r="B74" s="4"/>
    </row>
    <row r="75" customFormat="false" ht="15" hidden="false" customHeight="false" outlineLevel="0" collapsed="false">
      <c r="B75" s="3" t="s">
        <v>64</v>
      </c>
    </row>
    <row r="76" customFormat="false" ht="15" hidden="false" customHeight="false" outlineLevel="0" collapsed="false">
      <c r="B76" s="2" t="s">
        <v>65</v>
      </c>
    </row>
    <row r="77" customFormat="false" ht="15" hidden="false" customHeight="false" outlineLevel="0" collapsed="false">
      <c r="B77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4" style="0" width="11"/>
    <col collapsed="false" customWidth="true" hidden="false" outlineLevel="0" max="12" min="8" style="0" width="9"/>
    <col collapsed="false" customWidth="true" hidden="false" outlineLevel="0" max="13" min="13" style="0" width="11"/>
  </cols>
  <sheetData>
    <row r="2" customFormat="false" ht="17.35" hidden="false" customHeight="false" outlineLevel="0" collapsed="false">
      <c r="B2" s="1" t="s">
        <v>67</v>
      </c>
    </row>
    <row r="3" customFormat="false" ht="15" hidden="false" customHeight="false" outlineLevel="0" collapsed="false">
      <c r="B3" s="2" t="s">
        <v>68</v>
      </c>
    </row>
    <row r="5" customFormat="false" ht="15" hidden="false" customHeight="false" outlineLevel="0" collapsed="false">
      <c r="B5" s="5" t="s">
        <v>69</v>
      </c>
      <c r="C5" s="6"/>
      <c r="D5" s="7" t="s">
        <v>70</v>
      </c>
      <c r="E5" s="7" t="s">
        <v>71</v>
      </c>
      <c r="F5" s="7" t="s">
        <v>72</v>
      </c>
      <c r="G5" s="7" t="s">
        <v>73</v>
      </c>
    </row>
    <row r="6" customFormat="false" ht="15" hidden="false" customHeight="false" outlineLevel="0" collapsed="false">
      <c r="B6" s="8" t="s">
        <v>74</v>
      </c>
      <c r="C6" s="9"/>
      <c r="D6" s="9"/>
      <c r="E6" s="9"/>
      <c r="F6" s="9"/>
      <c r="G6" s="9"/>
    </row>
    <row r="7" customFormat="false" ht="15" hidden="false" customHeight="false" outlineLevel="0" collapsed="false">
      <c r="B7" s="4" t="s">
        <v>75</v>
      </c>
      <c r="D7" s="10" t="n">
        <f aca="false">Base!M18</f>
        <v>1125</v>
      </c>
      <c r="E7" s="10" t="n">
        <f aca="false">Base!Z18</f>
        <v>1092.5</v>
      </c>
      <c r="F7" s="11" t="n">
        <f aca="false">E7-D7</f>
        <v>-32.5000000000002</v>
      </c>
      <c r="G7" s="12" t="n">
        <f aca="false">IF(D7=0,"",E7/D7-1)</f>
        <v>-0.0288888888888891</v>
      </c>
    </row>
    <row r="8" customFormat="false" ht="15" hidden="false" customHeight="false" outlineLevel="0" collapsed="false">
      <c r="B8" s="4" t="s">
        <v>76</v>
      </c>
      <c r="D8" s="10" t="n">
        <f aca="false">Base!M38</f>
        <v>883.75</v>
      </c>
      <c r="E8" s="10" t="n">
        <f aca="false">Base!Z37</f>
        <v>887.5</v>
      </c>
      <c r="F8" s="11" t="n">
        <f aca="false">E8-D8</f>
        <v>3.75</v>
      </c>
      <c r="G8" s="12" t="n">
        <f aca="false">IF(D8=0,"",E8/D8-1)</f>
        <v>0.00424328147100428</v>
      </c>
    </row>
    <row r="9" customFormat="false" ht="15" hidden="false" customHeight="false" outlineLevel="0" collapsed="false">
      <c r="B9" s="4" t="s">
        <v>77</v>
      </c>
      <c r="D9" s="10" t="n">
        <f aca="false">Base!M58</f>
        <v>858.75</v>
      </c>
      <c r="E9" s="10" t="n">
        <f aca="false">Base!Z58</f>
        <v>862.5</v>
      </c>
      <c r="F9" s="11" t="n">
        <f aca="false">E9-D9</f>
        <v>3.75</v>
      </c>
      <c r="G9" s="12" t="n">
        <f aca="false">IF(D9=0,"",E9/D9-1)</f>
        <v>0.00436681222707414</v>
      </c>
    </row>
    <row r="10" customFormat="false" ht="15" hidden="false" customHeight="false" outlineLevel="0" collapsed="false">
      <c r="B10" s="4" t="s">
        <v>78</v>
      </c>
      <c r="D10" s="10" t="n">
        <f aca="false">Base!M78</f>
        <v>833.75</v>
      </c>
      <c r="E10" s="10" t="n">
        <f aca="false">Base!Z77</f>
        <v>837.5</v>
      </c>
      <c r="F10" s="11" t="n">
        <f aca="false">E10-D10</f>
        <v>3.75</v>
      </c>
      <c r="G10" s="12" t="n">
        <f aca="false">IF(D10=0,"",E10/D10-1)</f>
        <v>0.00449775112443773</v>
      </c>
    </row>
    <row r="11" customFormat="false" ht="15" hidden="false" customHeight="false" outlineLevel="0" collapsed="false">
      <c r="B11" s="4" t="s">
        <v>79</v>
      </c>
      <c r="D11" s="10" t="n">
        <f aca="false">Base!M98</f>
        <v>808.75</v>
      </c>
      <c r="E11" s="10" t="n">
        <f aca="false">Base!Z97</f>
        <v>812.5</v>
      </c>
      <c r="F11" s="11" t="n">
        <f aca="false">E11-D11</f>
        <v>3.75</v>
      </c>
      <c r="G11" s="12" t="n">
        <f aca="false">IF(D11=0,"",E11/D11-1)</f>
        <v>0.00463678516228749</v>
      </c>
    </row>
    <row r="12" customFormat="false" ht="15" hidden="false" customHeight="false" outlineLevel="0" collapsed="false">
      <c r="B12" s="4" t="s">
        <v>80</v>
      </c>
      <c r="D12" s="10" t="n">
        <f aca="false">Base!M118</f>
        <v>1115</v>
      </c>
      <c r="E12" s="10" t="n">
        <f aca="false">Base!Z117</f>
        <v>1137.5</v>
      </c>
      <c r="F12" s="11" t="n">
        <f aca="false">E12-D12</f>
        <v>22.5</v>
      </c>
      <c r="G12" s="12" t="n">
        <f aca="false">IF(D12=0,"",E12/D12-1)</f>
        <v>0.0201793721973094</v>
      </c>
    </row>
    <row r="13" customFormat="false" ht="15" hidden="false" customHeight="false" outlineLevel="0" collapsed="false">
      <c r="B13" s="4" t="s">
        <v>81</v>
      </c>
      <c r="D13" s="10" t="n">
        <f aca="false">Base!M138</f>
        <v>1090</v>
      </c>
      <c r="E13" s="10" t="n">
        <f aca="false">Base!Z137</f>
        <v>1112.5</v>
      </c>
      <c r="F13" s="11" t="n">
        <f aca="false">E13-D13</f>
        <v>22.5</v>
      </c>
      <c r="G13" s="12" t="n">
        <f aca="false">IF(D13=0,"",E13/D13-1)</f>
        <v>0.0206422018348624</v>
      </c>
    </row>
    <row r="14" customFormat="false" ht="15" hidden="false" customHeight="false" outlineLevel="0" collapsed="false">
      <c r="B14" s="4" t="s">
        <v>82</v>
      </c>
      <c r="D14" s="10" t="n">
        <f aca="false">Base!M158</f>
        <v>971.25</v>
      </c>
      <c r="E14" s="10" t="n">
        <f aca="false">Base!Z157</f>
        <v>987.5</v>
      </c>
      <c r="F14" s="11" t="n">
        <f aca="false">E14-D14</f>
        <v>16.25</v>
      </c>
      <c r="G14" s="12" t="n">
        <f aca="false">IF(D14=0,"",E14/D14-1)</f>
        <v>0.0167310167310166</v>
      </c>
    </row>
    <row r="15" customFormat="false" ht="15" hidden="false" customHeight="false" outlineLevel="0" collapsed="false">
      <c r="B15" s="3" t="s">
        <v>83</v>
      </c>
      <c r="D15" s="13" t="n">
        <f aca="false">SUM(D7:D14)</f>
        <v>7686.25</v>
      </c>
      <c r="E15" s="13" t="n">
        <f aca="false">SUM(E7:E14)</f>
        <v>7730</v>
      </c>
      <c r="F15" s="14" t="n">
        <f aca="false">SUM(F7:F14)</f>
        <v>43.7499999999998</v>
      </c>
      <c r="G15" s="15" t="n">
        <f aca="false">IF(D15=0,"",E15/D15-1)</f>
        <v>0.00569198243616853</v>
      </c>
    </row>
    <row r="17" customFormat="false" ht="15" hidden="false" customHeight="false" outlineLevel="0" collapsed="false">
      <c r="B17" s="8" t="s">
        <v>84</v>
      </c>
      <c r="C17" s="9"/>
      <c r="D17" s="9"/>
      <c r="E17" s="9"/>
      <c r="F17" s="9"/>
      <c r="G17" s="9"/>
    </row>
    <row r="18" customFormat="false" ht="15" hidden="false" customHeight="false" outlineLevel="0" collapsed="false">
      <c r="B18" s="4" t="s">
        <v>75</v>
      </c>
      <c r="D18" s="10" t="n">
        <f aca="false">'Promo in T'!M18</f>
        <v>2000</v>
      </c>
      <c r="E18" s="10" t="n">
        <f aca="false">'Promo in T'!Z18</f>
        <v>1955</v>
      </c>
      <c r="F18" s="11" t="n">
        <f aca="false">E18-D18</f>
        <v>-45</v>
      </c>
      <c r="G18" s="12" t="n">
        <f aca="false">IF(D18=0,"",E18/D18-1)</f>
        <v>-0.0225</v>
      </c>
    </row>
    <row r="19" customFormat="false" ht="15" hidden="false" customHeight="false" outlineLevel="0" collapsed="false">
      <c r="B19" s="4" t="s">
        <v>76</v>
      </c>
      <c r="D19" s="10" t="n">
        <f aca="false">'Promo in T'!M37</f>
        <v>1593.75</v>
      </c>
      <c r="E19" s="10" t="n">
        <f aca="false">'Promo in T'!Z37</f>
        <v>1570</v>
      </c>
      <c r="F19" s="11" t="n">
        <f aca="false">E19-D19</f>
        <v>-23.75</v>
      </c>
      <c r="G19" s="12" t="n">
        <f aca="false">IF(D19=0,"",E19/D19-1)</f>
        <v>-0.0149019607843137</v>
      </c>
    </row>
    <row r="20" customFormat="false" ht="15" hidden="false" customHeight="false" outlineLevel="0" collapsed="false">
      <c r="B20" s="4" t="s">
        <v>77</v>
      </c>
      <c r="D20" s="10" t="n">
        <f aca="false">'Promo in T'!M56</f>
        <v>1562.5</v>
      </c>
      <c r="E20" s="10" t="n">
        <f aca="false">'Promo in T'!Z57</f>
        <v>1545</v>
      </c>
      <c r="F20" s="11" t="n">
        <f aca="false">E20-D20</f>
        <v>-17.5</v>
      </c>
      <c r="G20" s="12" t="n">
        <f aca="false">IF(D20=0,"",E20/D20-1)</f>
        <v>-0.0112</v>
      </c>
    </row>
    <row r="21" customFormat="false" ht="15" hidden="false" customHeight="false" outlineLevel="0" collapsed="false">
      <c r="B21" s="4" t="s">
        <v>78</v>
      </c>
      <c r="D21" s="10" t="n">
        <f aca="false">'Promo in T'!M76</f>
        <v>1531.25</v>
      </c>
      <c r="E21" s="10" t="n">
        <f aca="false">'Promo in T'!Z77</f>
        <v>1520</v>
      </c>
      <c r="F21" s="11" t="n">
        <f aca="false">E21-D21</f>
        <v>-11.25</v>
      </c>
      <c r="G21" s="12" t="n">
        <f aca="false">IF(D21=0,"",E21/D21-1)</f>
        <v>-0.00734693877551018</v>
      </c>
    </row>
    <row r="22" customFormat="false" ht="15" hidden="false" customHeight="false" outlineLevel="0" collapsed="false">
      <c r="B22" s="4" t="s">
        <v>79</v>
      </c>
      <c r="D22" s="10" t="n">
        <f aca="false">'Promo in T'!M96</f>
        <v>1500</v>
      </c>
      <c r="E22" s="10" t="n">
        <f aca="false">'Promo in T'!Z97</f>
        <v>1495</v>
      </c>
      <c r="F22" s="11" t="n">
        <f aca="false">E22-D22</f>
        <v>-5</v>
      </c>
      <c r="G22" s="12" t="n">
        <f aca="false">IF(D22=0,"",E22/D22-1)</f>
        <v>-0.0033333333333333</v>
      </c>
    </row>
    <row r="23" customFormat="false" ht="15" hidden="false" customHeight="false" outlineLevel="0" collapsed="false">
      <c r="B23" s="4" t="s">
        <v>80</v>
      </c>
      <c r="D23" s="10" t="n">
        <f aca="false">'Promo in T'!M116</f>
        <v>2187.5</v>
      </c>
      <c r="E23" s="10" t="n">
        <f aca="false">'Promo in T'!Z117</f>
        <v>2135</v>
      </c>
      <c r="F23" s="11" t="n">
        <f aca="false">E23-D23</f>
        <v>-52.5</v>
      </c>
      <c r="G23" s="12" t="n">
        <f aca="false">IF(D23=0,"",E23/D23-1)</f>
        <v>-0.024</v>
      </c>
    </row>
    <row r="24" customFormat="false" ht="15" hidden="false" customHeight="false" outlineLevel="0" collapsed="false">
      <c r="B24" s="4" t="s">
        <v>81</v>
      </c>
      <c r="D24" s="10" t="n">
        <f aca="false">'Promo in T'!M136</f>
        <v>2156.25</v>
      </c>
      <c r="E24" s="10" t="n">
        <f aca="false">'Promo in T'!Z137</f>
        <v>2110</v>
      </c>
      <c r="F24" s="11" t="n">
        <f aca="false">E24-D24</f>
        <v>-46.25</v>
      </c>
      <c r="G24" s="12" t="n">
        <f aca="false">IF(D24=0,"",E24/D24-1)</f>
        <v>-0.0214492753623189</v>
      </c>
    </row>
    <row r="25" customFormat="false" ht="15" hidden="false" customHeight="false" outlineLevel="0" collapsed="false">
      <c r="B25" s="4" t="s">
        <v>82</v>
      </c>
      <c r="D25" s="10" t="n">
        <f aca="false">'Promo in T'!M156</f>
        <v>1875</v>
      </c>
      <c r="E25" s="10" t="n">
        <f aca="false">'Promo in T'!Z156</f>
        <v>1855</v>
      </c>
      <c r="F25" s="11" t="n">
        <f aca="false">E25-D25</f>
        <v>-20</v>
      </c>
      <c r="G25" s="12" t="n">
        <f aca="false">IF(D25=0,"",E25/D25-1)</f>
        <v>-0.0106666666666667</v>
      </c>
    </row>
    <row r="26" customFormat="false" ht="15" hidden="false" customHeight="false" outlineLevel="0" collapsed="false">
      <c r="B26" s="3" t="s">
        <v>83</v>
      </c>
      <c r="D26" s="13" t="n">
        <f aca="false">SUM(D18:D25)</f>
        <v>14406.25</v>
      </c>
      <c r="E26" s="13" t="n">
        <f aca="false">SUM(E18:E25)</f>
        <v>14185</v>
      </c>
      <c r="F26" s="14" t="n">
        <f aca="false">SUM(F18:F25)</f>
        <v>-221.25</v>
      </c>
      <c r="G26" s="15" t="n">
        <f aca="false">IF(D26=0,"",E26/D26-1)</f>
        <v>-0.0153579175704989</v>
      </c>
    </row>
    <row r="28" customFormat="false" ht="15" hidden="false" customHeight="false" outlineLevel="0" collapsed="false">
      <c r="B28" s="8" t="s">
        <v>85</v>
      </c>
      <c r="C28" s="9"/>
      <c r="D28" s="9"/>
      <c r="E28" s="9"/>
      <c r="F28" s="9"/>
      <c r="G28" s="9"/>
    </row>
    <row r="29" customFormat="false" ht="15" hidden="false" customHeight="false" outlineLevel="0" collapsed="false">
      <c r="B29" s="4" t="s">
        <v>76</v>
      </c>
      <c r="D29" s="10" t="n">
        <f aca="false">'Promo before T'!M22</f>
        <v>1687.5</v>
      </c>
      <c r="E29" s="10" t="n">
        <f aca="false">'Promo before T'!Z22</f>
        <v>1675</v>
      </c>
      <c r="F29" s="11" t="n">
        <f aca="false">E29-D29</f>
        <v>-12.5</v>
      </c>
      <c r="G29" s="12" t="n">
        <f aca="false">IF(D29=0,"",E29/D29-1)</f>
        <v>-0.00740740740740742</v>
      </c>
    </row>
    <row r="30" customFormat="false" ht="15" hidden="false" customHeight="false" outlineLevel="0" collapsed="false">
      <c r="B30" s="4" t="s">
        <v>77</v>
      </c>
      <c r="D30" s="10" t="n">
        <f aca="false">'Promo before T'!M41</f>
        <v>1656.25</v>
      </c>
      <c r="E30" s="10" t="n">
        <f aca="false">'Promo before T'!Z42</f>
        <v>1650</v>
      </c>
      <c r="F30" s="11" t="n">
        <f aca="false">E30-D30</f>
        <v>-6.25</v>
      </c>
      <c r="G30" s="12" t="n">
        <f aca="false">IF(D30=0,"",E30/D30-1)</f>
        <v>-0.00377358490566038</v>
      </c>
    </row>
    <row r="31" customFormat="false" ht="15" hidden="false" customHeight="false" outlineLevel="0" collapsed="false">
      <c r="B31" s="4" t="s">
        <v>78</v>
      </c>
      <c r="D31" s="10" t="n">
        <f aca="false">'Promo before T'!M61</f>
        <v>1625</v>
      </c>
      <c r="E31" s="10" t="n">
        <f aca="false">'Promo before T'!Z62</f>
        <v>1625</v>
      </c>
      <c r="F31" s="11" t="n">
        <f aca="false">E31-D31</f>
        <v>0</v>
      </c>
      <c r="G31" s="12" t="n">
        <f aca="false">IF(D31=0,"",E31/D31-1)</f>
        <v>0</v>
      </c>
    </row>
    <row r="32" customFormat="false" ht="15" hidden="false" customHeight="false" outlineLevel="0" collapsed="false">
      <c r="B32" s="4" t="s">
        <v>79</v>
      </c>
      <c r="D32" s="10" t="n">
        <f aca="false">'Promo before T'!M81</f>
        <v>1593.75</v>
      </c>
      <c r="E32" s="10" t="n">
        <f aca="false">'Promo before T'!Z82</f>
        <v>1600</v>
      </c>
      <c r="F32" s="11" t="n">
        <f aca="false">E32-D32</f>
        <v>6.25</v>
      </c>
      <c r="G32" s="12" t="n">
        <f aca="false">IF(D32=0,"",E32/D32-1)</f>
        <v>0.00392156862745097</v>
      </c>
    </row>
    <row r="33" customFormat="false" ht="15" hidden="false" customHeight="false" outlineLevel="0" collapsed="false">
      <c r="B33" s="4" t="s">
        <v>82</v>
      </c>
      <c r="D33" s="10" t="n">
        <f aca="false">'Promo before T'!M109</f>
        <v>1906.25</v>
      </c>
      <c r="E33" s="10" t="n">
        <f aca="false">'Promo before T'!Z109</f>
        <v>1910</v>
      </c>
      <c r="F33" s="11" t="n">
        <f aca="false">E33-D33</f>
        <v>3.75</v>
      </c>
      <c r="G33" s="12" t="n">
        <f aca="false">IF(D33=0,"",E33/D33-1)</f>
        <v>0.00196721311475412</v>
      </c>
    </row>
    <row r="34" customFormat="false" ht="15" hidden="false" customHeight="false" outlineLevel="0" collapsed="false">
      <c r="B34" s="3" t="s">
        <v>83</v>
      </c>
      <c r="D34" s="13" t="n">
        <f aca="false">SUM(D29:D33)</f>
        <v>8468.75</v>
      </c>
      <c r="E34" s="13" t="n">
        <f aca="false">SUM(E29:E33)</f>
        <v>8460</v>
      </c>
      <c r="F34" s="14" t="n">
        <f aca="false">SUM(F29:F33)</f>
        <v>-8.75</v>
      </c>
      <c r="G34" s="15" t="n">
        <f aca="false">IF(D34=0,"",E34/D34-1)</f>
        <v>-0.00103321033210335</v>
      </c>
    </row>
    <row r="36" customFormat="false" ht="15" hidden="false" customHeight="false" outlineLevel="0" collapsed="false">
      <c r="B36" s="8" t="s">
        <v>86</v>
      </c>
      <c r="C36" s="9"/>
      <c r="D36" s="9"/>
      <c r="E36" s="9"/>
      <c r="F36" s="9"/>
      <c r="G36" s="9"/>
    </row>
    <row r="37" customFormat="false" ht="15" hidden="false" customHeight="false" outlineLevel="0" collapsed="false">
      <c r="B37" s="4" t="s">
        <v>75</v>
      </c>
      <c r="D37" s="10" t="n">
        <f aca="false">'Outsized 1.5x in 2030'!M18</f>
        <v>1187.5</v>
      </c>
      <c r="E37" s="10" t="n">
        <f aca="false">'Outsized 1.5x in 2030'!Z18</f>
        <v>1162.5</v>
      </c>
      <c r="F37" s="11" t="n">
        <f aca="false">E37-D37</f>
        <v>-25</v>
      </c>
      <c r="G37" s="12" t="n">
        <f aca="false">IF(D37=0,"",E37/D37-1)</f>
        <v>-0.0210526315789473</v>
      </c>
    </row>
    <row r="38" customFormat="false" ht="15" hidden="false" customHeight="false" outlineLevel="0" collapsed="false">
      <c r="B38" s="4" t="s">
        <v>76</v>
      </c>
      <c r="D38" s="10" t="n">
        <f aca="false">'Outsized 1.5x in 2030'!M38</f>
        <v>908.75</v>
      </c>
      <c r="E38" s="10" t="n">
        <f aca="false">'Outsized 1.5x in 2030'!Z37</f>
        <v>925</v>
      </c>
      <c r="F38" s="11" t="n">
        <f aca="false">E38-D38</f>
        <v>16.25</v>
      </c>
      <c r="G38" s="12" t="n">
        <f aca="false">IF(D38=0,"",E38/D38-1)</f>
        <v>0.0178817056396148</v>
      </c>
    </row>
    <row r="39" customFormat="false" ht="15" hidden="false" customHeight="false" outlineLevel="0" collapsed="false">
      <c r="B39" s="4" t="s">
        <v>77</v>
      </c>
      <c r="D39" s="10" t="n">
        <f aca="false">'Outsized 1.5x in 2030'!M58</f>
        <v>883.75</v>
      </c>
      <c r="E39" s="10" t="n">
        <f aca="false">'Outsized 1.5x in 2030'!Z58</f>
        <v>887.5</v>
      </c>
      <c r="F39" s="11" t="n">
        <f aca="false">E39-D39</f>
        <v>3.75</v>
      </c>
      <c r="G39" s="12" t="n">
        <f aca="false">IF(D39=0,"",E39/D39-1)</f>
        <v>0.00424328147100428</v>
      </c>
    </row>
    <row r="40" customFormat="false" ht="15" hidden="false" customHeight="false" outlineLevel="0" collapsed="false">
      <c r="B40" s="4" t="s">
        <v>78</v>
      </c>
      <c r="D40" s="10" t="n">
        <f aca="false">'Outsized 1.5x in 2030'!M78</f>
        <v>858.75</v>
      </c>
      <c r="E40" s="10" t="n">
        <f aca="false">'Outsized 1.5x in 2030'!Z78</f>
        <v>862.5</v>
      </c>
      <c r="F40" s="11" t="n">
        <f aca="false">E40-D40</f>
        <v>3.75</v>
      </c>
      <c r="G40" s="12" t="n">
        <f aca="false">IF(D40=0,"",E40/D40-1)</f>
        <v>0.00436681222707414</v>
      </c>
    </row>
    <row r="41" customFormat="false" ht="15" hidden="false" customHeight="false" outlineLevel="0" collapsed="false">
      <c r="B41" s="4" t="s">
        <v>79</v>
      </c>
      <c r="D41" s="10" t="n">
        <f aca="false">'Outsized 1.5x in 2030'!M98</f>
        <v>833.75</v>
      </c>
      <c r="E41" s="10" t="n">
        <f aca="false">'Outsized 1.5x in 2030'!Z97</f>
        <v>875</v>
      </c>
      <c r="F41" s="11" t="n">
        <f aca="false">E41-D41</f>
        <v>41.25</v>
      </c>
      <c r="G41" s="12" t="n">
        <f aca="false">IF(D41=0,"",E41/D41-1)</f>
        <v>0.0494752623688155</v>
      </c>
    </row>
    <row r="42" customFormat="false" ht="15" hidden="false" customHeight="false" outlineLevel="0" collapsed="false">
      <c r="B42" s="4" t="s">
        <v>80</v>
      </c>
      <c r="D42" s="10" t="n">
        <f aca="false">'Outsized 1.5x in 2030'!M118</f>
        <v>1177.5</v>
      </c>
      <c r="E42" s="10" t="n">
        <f aca="false">'Outsized 1.5x in 2030'!Z117</f>
        <v>1187.5</v>
      </c>
      <c r="F42" s="11" t="n">
        <f aca="false">E42-D42</f>
        <v>10</v>
      </c>
      <c r="G42" s="12" t="n">
        <f aca="false">IF(D42=0,"",E42/D42-1)</f>
        <v>0.00849256900212314</v>
      </c>
    </row>
    <row r="43" customFormat="false" ht="15" hidden="false" customHeight="false" outlineLevel="0" collapsed="false">
      <c r="B43" s="4" t="s">
        <v>81</v>
      </c>
      <c r="D43" s="10" t="n">
        <f aca="false">'Outsized 1.5x in 2030'!M138</f>
        <v>1152.5</v>
      </c>
      <c r="E43" s="10" t="n">
        <f aca="false">'Outsized 1.5x in 2030'!Z137</f>
        <v>1162.5</v>
      </c>
      <c r="F43" s="11" t="n">
        <f aca="false">E43-D43</f>
        <v>10</v>
      </c>
      <c r="G43" s="12" t="n">
        <f aca="false">IF(D43=0,"",E43/D43-1)</f>
        <v>0.00867678958785256</v>
      </c>
    </row>
    <row r="44" customFormat="false" ht="15" hidden="false" customHeight="false" outlineLevel="0" collapsed="false">
      <c r="B44" s="4" t="s">
        <v>82</v>
      </c>
      <c r="D44" s="10" t="n">
        <f aca="false">'Outsized 1.5x in 2030'!M158</f>
        <v>1033.75</v>
      </c>
      <c r="E44" s="10" t="n">
        <f aca="false">'Outsized 1.5x in 2030'!Z157</f>
        <v>1037.5</v>
      </c>
      <c r="F44" s="11" t="n">
        <f aca="false">E44-D44</f>
        <v>3.75</v>
      </c>
      <c r="G44" s="12" t="n">
        <f aca="false">IF(D44=0,"",E44/D44-1)</f>
        <v>0.00362756952841603</v>
      </c>
    </row>
    <row r="45" customFormat="false" ht="15" hidden="false" customHeight="false" outlineLevel="0" collapsed="false">
      <c r="B45" s="3" t="s">
        <v>83</v>
      </c>
      <c r="D45" s="13" t="n">
        <f aca="false">SUM(D37:D44)</f>
        <v>8036.25</v>
      </c>
      <c r="E45" s="13" t="n">
        <f aca="false">SUM(E37:E44)</f>
        <v>8100</v>
      </c>
      <c r="F45" s="14" t="n">
        <f aca="false">SUM(F37:F44)</f>
        <v>63.75</v>
      </c>
      <c r="G45" s="15" t="n">
        <f aca="false">IF(D45=0,"",E45/D45-1)</f>
        <v>0.00793280447970135</v>
      </c>
    </row>
    <row r="47" customFormat="false" ht="15" hidden="false" customHeight="false" outlineLevel="0" collapsed="false">
      <c r="B47" s="2" t="s">
        <v>87</v>
      </c>
    </row>
    <row r="48" customFormat="false" ht="15" hidden="false" customHeight="false" outlineLevel="0" collapsed="false">
      <c r="B48" s="2" t="s">
        <v>88</v>
      </c>
    </row>
    <row r="49" customFormat="false" ht="15" hidden="false" customHeight="false" outlineLevel="0" collapsed="false">
      <c r="B49" s="2" t="s">
        <v>89</v>
      </c>
    </row>
    <row r="51" customFormat="false" ht="17.35" hidden="false" customHeight="false" outlineLevel="0" collapsed="false">
      <c r="B51" s="1" t="s">
        <v>90</v>
      </c>
    </row>
    <row r="53" customFormat="false" ht="15" hidden="false" customHeight="false" outlineLevel="0" collapsed="false">
      <c r="B53" s="5" t="s">
        <v>74</v>
      </c>
      <c r="C53" s="6"/>
      <c r="D53" s="7" t="s">
        <v>91</v>
      </c>
      <c r="E53" s="7" t="s">
        <v>92</v>
      </c>
      <c r="F53" s="7" t="s">
        <v>93</v>
      </c>
      <c r="G53" s="7" t="s">
        <v>94</v>
      </c>
      <c r="H53" s="7" t="s">
        <v>95</v>
      </c>
      <c r="I53" s="7" t="s">
        <v>96</v>
      </c>
      <c r="J53" s="7" t="s">
        <v>97</v>
      </c>
      <c r="K53" s="7" t="s">
        <v>98</v>
      </c>
      <c r="L53" s="7" t="s">
        <v>99</v>
      </c>
      <c r="M53" s="16" t="s">
        <v>100</v>
      </c>
    </row>
    <row r="54" customFormat="false" ht="15" hidden="false" customHeight="false" outlineLevel="0" collapsed="false">
      <c r="B54" s="4" t="s">
        <v>101</v>
      </c>
      <c r="D54" s="10" t="n">
        <f aca="false">Base!D18</f>
        <v>100</v>
      </c>
      <c r="E54" s="10" t="n">
        <f aca="false">Base!E18</f>
        <v>115</v>
      </c>
      <c r="F54" s="10" t="n">
        <f aca="false">Base!F18</f>
        <v>120</v>
      </c>
      <c r="G54" s="10" t="n">
        <f aca="false">Base!G18</f>
        <v>125</v>
      </c>
      <c r="H54" s="10" t="n">
        <f aca="false">Base!H18</f>
        <v>125</v>
      </c>
      <c r="I54" s="10" t="n">
        <f aca="false">Base!I18</f>
        <v>125</v>
      </c>
      <c r="J54" s="10" t="n">
        <f aca="false">Base!J18</f>
        <v>125</v>
      </c>
      <c r="K54" s="10" t="n">
        <f aca="false">Base!K18</f>
        <v>125</v>
      </c>
      <c r="L54" s="10" t="n">
        <f aca="false">Base!L18</f>
        <v>125</v>
      </c>
      <c r="M54" s="10" t="n">
        <f aca="false">Base!M18</f>
        <v>1125</v>
      </c>
    </row>
    <row r="55" customFormat="false" ht="15" hidden="false" customHeight="false" outlineLevel="0" collapsed="false">
      <c r="B55" s="4" t="s">
        <v>102</v>
      </c>
      <c r="D55" s="10" t="n">
        <f aca="false">Base!Q18</f>
        <v>115</v>
      </c>
      <c r="E55" s="10" t="n">
        <f aca="false">Base!R18</f>
        <v>115</v>
      </c>
      <c r="F55" s="10" t="n">
        <f aca="false">Base!S18</f>
        <v>115</v>
      </c>
      <c r="G55" s="10" t="n">
        <f aca="false">Base!T18</f>
        <v>115</v>
      </c>
      <c r="H55" s="10" t="n">
        <f aca="false">Base!U18</f>
        <v>115</v>
      </c>
      <c r="I55" s="10" t="n">
        <f aca="false">Base!V18</f>
        <v>115</v>
      </c>
      <c r="J55" s="10" t="n">
        <f aca="false">Base!W18</f>
        <v>115</v>
      </c>
      <c r="K55" s="10" t="n">
        <f aca="false">Base!X18</f>
        <v>115</v>
      </c>
      <c r="L55" s="10" t="n">
        <f aca="false">Base!Y18</f>
        <v>115</v>
      </c>
      <c r="M55" s="10" t="n">
        <f aca="false">Base!Z18</f>
        <v>1092.5</v>
      </c>
    </row>
    <row r="56" customFormat="false" ht="15" hidden="false" customHeight="false" outlineLevel="0" collapsed="false">
      <c r="B56" s="4" t="s">
        <v>103</v>
      </c>
      <c r="D56" s="10" t="n">
        <f aca="false">Base!D38</f>
        <v>125</v>
      </c>
      <c r="E56" s="10" t="n">
        <f aca="false">Base!E38</f>
        <v>128.75</v>
      </c>
      <c r="F56" s="10" t="n">
        <f aca="false">Base!F38</f>
        <v>130</v>
      </c>
      <c r="G56" s="10" t="n">
        <f aca="false">Base!G38</f>
        <v>131.25</v>
      </c>
      <c r="H56" s="10" t="n">
        <f aca="false">Base!H38</f>
        <v>127.5</v>
      </c>
      <c r="I56" s="10" t="n">
        <f aca="false">Base!I38</f>
        <v>126.25</v>
      </c>
      <c r="J56" s="10" t="n">
        <f aca="false">Base!J38</f>
        <v>125</v>
      </c>
      <c r="K56" s="10" t="n">
        <f aca="false">Base!K38</f>
        <v>125</v>
      </c>
      <c r="L56" s="10" t="n">
        <f aca="false">Base!L38</f>
        <v>125</v>
      </c>
      <c r="M56" s="10" t="n">
        <f aca="false">Base!M38</f>
        <v>883.75</v>
      </c>
    </row>
    <row r="57" customFormat="false" ht="15" hidden="false" customHeight="false" outlineLevel="0" collapsed="false">
      <c r="B57" s="4" t="s">
        <v>104</v>
      </c>
      <c r="D57" s="10" t="n">
        <f aca="false">Base!Q37</f>
        <v>125</v>
      </c>
      <c r="E57" s="10" t="n">
        <f aca="false">Base!R37</f>
        <v>125</v>
      </c>
      <c r="F57" s="10" t="n">
        <f aca="false">Base!S37</f>
        <v>125</v>
      </c>
      <c r="G57" s="10" t="n">
        <f aca="false">Base!T37</f>
        <v>125</v>
      </c>
      <c r="H57" s="10" t="n">
        <f aca="false">Base!U37</f>
        <v>125</v>
      </c>
      <c r="I57" s="10" t="n">
        <f aca="false">Base!V37</f>
        <v>125</v>
      </c>
      <c r="J57" s="10" t="n">
        <f aca="false">Base!W37</f>
        <v>125</v>
      </c>
      <c r="K57" s="10" t="n">
        <f aca="false">Base!X37</f>
        <v>125</v>
      </c>
      <c r="L57" s="10" t="n">
        <f aca="false">Base!Y37</f>
        <v>125</v>
      </c>
      <c r="M57" s="10" t="n">
        <f aca="false">Base!Z37</f>
        <v>887.5</v>
      </c>
    </row>
    <row r="58" customFormat="false" ht="15" hidden="false" customHeight="false" outlineLevel="0" collapsed="false">
      <c r="B58" s="4" t="s">
        <v>105</v>
      </c>
      <c r="D58" s="10" t="n">
        <f aca="false">Base!D58</f>
        <v>125</v>
      </c>
      <c r="E58" s="10" t="n">
        <f aca="false">Base!E58</f>
        <v>128.75</v>
      </c>
      <c r="F58" s="10" t="n">
        <f aca="false">Base!F58</f>
        <v>130</v>
      </c>
      <c r="G58" s="10" t="n">
        <f aca="false">Base!G58</f>
        <v>131.25</v>
      </c>
      <c r="H58" s="10" t="n">
        <f aca="false">Base!H58</f>
        <v>127.5</v>
      </c>
      <c r="I58" s="10" t="n">
        <f aca="false">Base!I58</f>
        <v>126.25</v>
      </c>
      <c r="J58" s="10" t="n">
        <f aca="false">Base!J58</f>
        <v>125</v>
      </c>
      <c r="K58" s="10" t="n">
        <f aca="false">Base!K58</f>
        <v>125</v>
      </c>
      <c r="L58" s="10" t="n">
        <f aca="false">Base!L58</f>
        <v>125</v>
      </c>
      <c r="M58" s="10" t="n">
        <f aca="false">Base!M58</f>
        <v>858.75</v>
      </c>
    </row>
    <row r="59" customFormat="false" ht="15" hidden="false" customHeight="false" outlineLevel="0" collapsed="false">
      <c r="B59" s="4" t="s">
        <v>106</v>
      </c>
      <c r="D59" s="10" t="n">
        <f aca="false">Base!Q58</f>
        <v>125</v>
      </c>
      <c r="E59" s="10" t="n">
        <f aca="false">Base!R58</f>
        <v>125</v>
      </c>
      <c r="F59" s="10" t="n">
        <f aca="false">Base!S58</f>
        <v>125</v>
      </c>
      <c r="G59" s="10" t="n">
        <f aca="false">Base!T58</f>
        <v>125</v>
      </c>
      <c r="H59" s="10" t="n">
        <f aca="false">Base!U58</f>
        <v>125</v>
      </c>
      <c r="I59" s="10" t="n">
        <f aca="false">Base!V58</f>
        <v>125</v>
      </c>
      <c r="J59" s="10" t="n">
        <f aca="false">Base!W58</f>
        <v>125</v>
      </c>
      <c r="K59" s="10" t="n">
        <f aca="false">Base!X58</f>
        <v>125</v>
      </c>
      <c r="L59" s="10" t="n">
        <f aca="false">Base!Y58</f>
        <v>125</v>
      </c>
      <c r="M59" s="10" t="n">
        <f aca="false">Base!Z58</f>
        <v>862.5</v>
      </c>
    </row>
    <row r="60" customFormat="false" ht="15" hidden="false" customHeight="false" outlineLevel="0" collapsed="false">
      <c r="B60" s="4" t="s">
        <v>107</v>
      </c>
      <c r="D60" s="10" t="n">
        <f aca="false">Base!D78</f>
        <v>125</v>
      </c>
      <c r="E60" s="10" t="n">
        <f aca="false">Base!E78</f>
        <v>128.75</v>
      </c>
      <c r="F60" s="10" t="n">
        <f aca="false">Base!F78</f>
        <v>130</v>
      </c>
      <c r="G60" s="10" t="n">
        <f aca="false">Base!G78</f>
        <v>131.25</v>
      </c>
      <c r="H60" s="10" t="n">
        <f aca="false">Base!H78</f>
        <v>127.5</v>
      </c>
      <c r="I60" s="10" t="n">
        <f aca="false">Base!I78</f>
        <v>126.25</v>
      </c>
      <c r="J60" s="10" t="n">
        <f aca="false">Base!J78</f>
        <v>125</v>
      </c>
      <c r="K60" s="10" t="n">
        <f aca="false">Base!K78</f>
        <v>125</v>
      </c>
      <c r="L60" s="10" t="n">
        <f aca="false">Base!L78</f>
        <v>125</v>
      </c>
      <c r="M60" s="10" t="n">
        <f aca="false">Base!M78</f>
        <v>833.75</v>
      </c>
    </row>
    <row r="61" customFormat="false" ht="15" hidden="false" customHeight="false" outlineLevel="0" collapsed="false">
      <c r="B61" s="4" t="s">
        <v>108</v>
      </c>
      <c r="D61" s="10" t="n">
        <f aca="false">Base!Q77</f>
        <v>125</v>
      </c>
      <c r="E61" s="10" t="n">
        <f aca="false">Base!R77</f>
        <v>125</v>
      </c>
      <c r="F61" s="10" t="n">
        <f aca="false">Base!S77</f>
        <v>125</v>
      </c>
      <c r="G61" s="10" t="n">
        <f aca="false">Base!T77</f>
        <v>125</v>
      </c>
      <c r="H61" s="10" t="n">
        <f aca="false">Base!U77</f>
        <v>125</v>
      </c>
      <c r="I61" s="10" t="n">
        <f aca="false">Base!V77</f>
        <v>125</v>
      </c>
      <c r="J61" s="10" t="n">
        <f aca="false">Base!W77</f>
        <v>125</v>
      </c>
      <c r="K61" s="10" t="n">
        <f aca="false">Base!X77</f>
        <v>125</v>
      </c>
      <c r="L61" s="10" t="n">
        <f aca="false">Base!Y77</f>
        <v>125</v>
      </c>
      <c r="M61" s="10" t="n">
        <f aca="false">Base!Z77</f>
        <v>837.5</v>
      </c>
    </row>
    <row r="62" customFormat="false" ht="15" hidden="false" customHeight="false" outlineLevel="0" collapsed="false">
      <c r="B62" s="4" t="s">
        <v>109</v>
      </c>
      <c r="D62" s="10" t="n">
        <f aca="false">Base!D98</f>
        <v>125</v>
      </c>
      <c r="E62" s="10" t="n">
        <f aca="false">Base!E98</f>
        <v>128.75</v>
      </c>
      <c r="F62" s="10" t="n">
        <f aca="false">Base!F98</f>
        <v>130</v>
      </c>
      <c r="G62" s="10" t="n">
        <f aca="false">Base!G98</f>
        <v>131.25</v>
      </c>
      <c r="H62" s="10" t="n">
        <f aca="false">Base!H98</f>
        <v>127.5</v>
      </c>
      <c r="I62" s="10" t="n">
        <f aca="false">Base!I98</f>
        <v>126.25</v>
      </c>
      <c r="J62" s="10" t="n">
        <f aca="false">Base!J98</f>
        <v>125</v>
      </c>
      <c r="K62" s="10" t="n">
        <f aca="false">Base!K98</f>
        <v>125</v>
      </c>
      <c r="L62" s="10" t="n">
        <f aca="false">Base!L98</f>
        <v>125</v>
      </c>
      <c r="M62" s="10" t="n">
        <f aca="false">Base!M98</f>
        <v>808.75</v>
      </c>
    </row>
    <row r="63" customFormat="false" ht="15" hidden="false" customHeight="false" outlineLevel="0" collapsed="false">
      <c r="B63" s="4" t="s">
        <v>110</v>
      </c>
      <c r="D63" s="10" t="n">
        <f aca="false">Base!Q97</f>
        <v>125</v>
      </c>
      <c r="E63" s="10" t="n">
        <f aca="false">Base!R97</f>
        <v>125</v>
      </c>
      <c r="F63" s="10" t="n">
        <f aca="false">Base!S97</f>
        <v>125</v>
      </c>
      <c r="G63" s="10" t="n">
        <f aca="false">Base!T97</f>
        <v>125</v>
      </c>
      <c r="H63" s="10" t="n">
        <f aca="false">Base!U97</f>
        <v>125</v>
      </c>
      <c r="I63" s="10" t="n">
        <f aca="false">Base!V97</f>
        <v>125</v>
      </c>
      <c r="J63" s="10" t="n">
        <f aca="false">Base!W97</f>
        <v>125</v>
      </c>
      <c r="K63" s="10" t="n">
        <f aca="false">Base!X97</f>
        <v>125</v>
      </c>
      <c r="L63" s="10" t="n">
        <f aca="false">Base!Y97</f>
        <v>125</v>
      </c>
      <c r="M63" s="10" t="n">
        <f aca="false">Base!Z97</f>
        <v>812.5</v>
      </c>
    </row>
    <row r="64" customFormat="false" ht="15" hidden="false" customHeight="false" outlineLevel="0" collapsed="false">
      <c r="B64" s="4" t="s">
        <v>111</v>
      </c>
      <c r="D64" s="10" t="n">
        <f aca="false">Base!D118</f>
        <v>125</v>
      </c>
      <c r="E64" s="10" t="n">
        <f aca="false">Base!E118</f>
        <v>125</v>
      </c>
      <c r="F64" s="10" t="n">
        <f aca="false">Base!F118</f>
        <v>125</v>
      </c>
      <c r="G64" s="10" t="n">
        <f aca="false">Base!G118</f>
        <v>125</v>
      </c>
      <c r="H64" s="10" t="n">
        <f aca="false">Base!H118</f>
        <v>125</v>
      </c>
      <c r="I64" s="10" t="n">
        <f aca="false">Base!I118</f>
        <v>125</v>
      </c>
      <c r="J64" s="10" t="n">
        <f aca="false">Base!J118</f>
        <v>125</v>
      </c>
      <c r="K64" s="10" t="n">
        <f aca="false">Base!K118</f>
        <v>125</v>
      </c>
      <c r="L64" s="10" t="n">
        <f aca="false">Base!L118</f>
        <v>125</v>
      </c>
      <c r="M64" s="10" t="n">
        <f aca="false">Base!M118</f>
        <v>1115</v>
      </c>
    </row>
    <row r="65" customFormat="false" ht="15" hidden="false" customHeight="false" outlineLevel="0" collapsed="false">
      <c r="B65" s="4" t="s">
        <v>112</v>
      </c>
      <c r="D65" s="10" t="n">
        <f aca="false">Base!Q117</f>
        <v>125</v>
      </c>
      <c r="E65" s="10" t="n">
        <f aca="false">Base!R117</f>
        <v>125</v>
      </c>
      <c r="F65" s="10" t="n">
        <f aca="false">Base!S117</f>
        <v>125</v>
      </c>
      <c r="G65" s="10" t="n">
        <f aca="false">Base!T117</f>
        <v>125</v>
      </c>
      <c r="H65" s="10" t="n">
        <f aca="false">Base!U117</f>
        <v>125</v>
      </c>
      <c r="I65" s="10" t="n">
        <f aca="false">Base!V117</f>
        <v>125</v>
      </c>
      <c r="J65" s="10" t="n">
        <f aca="false">Base!W117</f>
        <v>125</v>
      </c>
      <c r="K65" s="10" t="n">
        <f aca="false">Base!X117</f>
        <v>125</v>
      </c>
      <c r="L65" s="10" t="n">
        <f aca="false">Base!Y117</f>
        <v>125</v>
      </c>
      <c r="M65" s="10" t="n">
        <f aca="false">Base!Z117</f>
        <v>1137.5</v>
      </c>
    </row>
    <row r="66" customFormat="false" ht="15" hidden="false" customHeight="false" outlineLevel="0" collapsed="false">
      <c r="B66" s="4" t="s">
        <v>113</v>
      </c>
      <c r="D66" s="10" t="n">
        <f aca="false">Base!D138</f>
        <v>125</v>
      </c>
      <c r="E66" s="10" t="n">
        <f aca="false">Base!E138</f>
        <v>125</v>
      </c>
      <c r="F66" s="10" t="n">
        <f aca="false">Base!F138</f>
        <v>125</v>
      </c>
      <c r="G66" s="10" t="n">
        <f aca="false">Base!G138</f>
        <v>125</v>
      </c>
      <c r="H66" s="10" t="n">
        <f aca="false">Base!H138</f>
        <v>125</v>
      </c>
      <c r="I66" s="10" t="n">
        <f aca="false">Base!I138</f>
        <v>125</v>
      </c>
      <c r="J66" s="10" t="n">
        <f aca="false">Base!J138</f>
        <v>125</v>
      </c>
      <c r="K66" s="10" t="n">
        <f aca="false">Base!K138</f>
        <v>125</v>
      </c>
      <c r="L66" s="10" t="n">
        <f aca="false">Base!L138</f>
        <v>125</v>
      </c>
      <c r="M66" s="10" t="n">
        <f aca="false">Base!M138</f>
        <v>1090</v>
      </c>
    </row>
    <row r="67" customFormat="false" ht="15" hidden="false" customHeight="false" outlineLevel="0" collapsed="false">
      <c r="B67" s="4" t="s">
        <v>114</v>
      </c>
      <c r="D67" s="10" t="n">
        <f aca="false">Base!Q137</f>
        <v>125</v>
      </c>
      <c r="E67" s="10" t="n">
        <f aca="false">Base!R137</f>
        <v>125</v>
      </c>
      <c r="F67" s="10" t="n">
        <f aca="false">Base!S137</f>
        <v>125</v>
      </c>
      <c r="G67" s="10" t="n">
        <f aca="false">Base!T137</f>
        <v>125</v>
      </c>
      <c r="H67" s="10" t="n">
        <f aca="false">Base!U137</f>
        <v>125</v>
      </c>
      <c r="I67" s="10" t="n">
        <f aca="false">Base!V137</f>
        <v>125</v>
      </c>
      <c r="J67" s="10" t="n">
        <f aca="false">Base!W137</f>
        <v>125</v>
      </c>
      <c r="K67" s="10" t="n">
        <f aca="false">Base!X137</f>
        <v>125</v>
      </c>
      <c r="L67" s="10" t="n">
        <f aca="false">Base!Y137</f>
        <v>125</v>
      </c>
      <c r="M67" s="10" t="n">
        <f aca="false">Base!Z137</f>
        <v>1112.5</v>
      </c>
    </row>
    <row r="68" customFormat="false" ht="15" hidden="false" customHeight="false" outlineLevel="0" collapsed="false">
      <c r="B68" s="4" t="s">
        <v>115</v>
      </c>
      <c r="D68" s="10" t="n">
        <f aca="false">Base!D158</f>
        <v>175</v>
      </c>
      <c r="E68" s="10" t="n">
        <f aca="false">Base!E158</f>
        <v>153.75</v>
      </c>
      <c r="F68" s="10" t="n">
        <f aca="false">Base!F158</f>
        <v>126.25</v>
      </c>
      <c r="G68" s="10" t="n">
        <f aca="false">Base!G158</f>
        <v>126.25</v>
      </c>
      <c r="H68" s="10" t="n">
        <f aca="false">Base!H158</f>
        <v>125</v>
      </c>
      <c r="I68" s="10" t="n">
        <f aca="false">Base!I158</f>
        <v>125</v>
      </c>
      <c r="J68" s="10" t="n">
        <f aca="false">Base!J158</f>
        <v>125</v>
      </c>
      <c r="K68" s="10" t="n">
        <f aca="false">Base!K158</f>
        <v>125</v>
      </c>
      <c r="L68" s="10" t="n">
        <f aca="false">Base!L158</f>
        <v>125</v>
      </c>
      <c r="M68" s="10" t="n">
        <f aca="false">Base!M158</f>
        <v>971.25</v>
      </c>
    </row>
    <row r="69" customFormat="false" ht="15" hidden="false" customHeight="false" outlineLevel="0" collapsed="false">
      <c r="B69" s="4" t="s">
        <v>116</v>
      </c>
      <c r="D69" s="10" t="n">
        <f aca="false">Base!Q157</f>
        <v>175</v>
      </c>
      <c r="E69" s="10" t="n">
        <f aca="false">Base!R157</f>
        <v>150</v>
      </c>
      <c r="F69" s="10" t="n">
        <f aca="false">Base!S157</f>
        <v>125</v>
      </c>
      <c r="G69" s="10" t="n">
        <f aca="false">Base!T157</f>
        <v>125</v>
      </c>
      <c r="H69" s="10" t="n">
        <f aca="false">Base!U157</f>
        <v>125</v>
      </c>
      <c r="I69" s="10" t="n">
        <f aca="false">Base!V157</f>
        <v>125</v>
      </c>
      <c r="J69" s="10" t="n">
        <f aca="false">Base!W157</f>
        <v>125</v>
      </c>
      <c r="K69" s="10" t="n">
        <f aca="false">Base!X157</f>
        <v>125</v>
      </c>
      <c r="L69" s="10" t="n">
        <f aca="false">Base!Y157</f>
        <v>125</v>
      </c>
      <c r="M69" s="10" t="n">
        <f aca="false">Base!Z157</f>
        <v>987.5</v>
      </c>
    </row>
    <row r="71" customFormat="false" ht="15" hidden="false" customHeight="false" outlineLevel="0" collapsed="false">
      <c r="B71" s="5" t="s">
        <v>84</v>
      </c>
      <c r="C71" s="6"/>
      <c r="D71" s="7" t="s">
        <v>91</v>
      </c>
      <c r="E71" s="7" t="s">
        <v>92</v>
      </c>
      <c r="F71" s="7" t="s">
        <v>93</v>
      </c>
      <c r="G71" s="7" t="s">
        <v>94</v>
      </c>
      <c r="H71" s="7" t="s">
        <v>95</v>
      </c>
      <c r="I71" s="7" t="s">
        <v>96</v>
      </c>
      <c r="J71" s="7" t="s">
        <v>97</v>
      </c>
      <c r="K71" s="7" t="s">
        <v>98</v>
      </c>
      <c r="L71" s="7" t="s">
        <v>99</v>
      </c>
      <c r="M71" s="16" t="s">
        <v>100</v>
      </c>
    </row>
    <row r="72" customFormat="false" ht="15" hidden="false" customHeight="false" outlineLevel="0" collapsed="false">
      <c r="B72" s="4" t="s">
        <v>101</v>
      </c>
      <c r="D72" s="10" t="n">
        <f aca="false">'Promo in T'!D18</f>
        <v>100</v>
      </c>
      <c r="E72" s="10" t="n">
        <f aca="false">'Promo in T'!E18</f>
        <v>115</v>
      </c>
      <c r="F72" s="10" t="n">
        <f aca="false">'Promo in T'!F18</f>
        <v>220</v>
      </c>
      <c r="G72" s="10" t="n">
        <f aca="false">'Promo in T'!G18</f>
        <v>240</v>
      </c>
      <c r="H72" s="10" t="n">
        <f aca="false">'Promo in T'!H18</f>
        <v>245</v>
      </c>
      <c r="I72" s="10" t="n">
        <f aca="false">'Promo in T'!I18</f>
        <v>250</v>
      </c>
      <c r="J72" s="10" t="n">
        <f aca="false">'Promo in T'!J18</f>
        <v>250</v>
      </c>
      <c r="K72" s="10" t="n">
        <f aca="false">'Promo in T'!K18</f>
        <v>250</v>
      </c>
      <c r="L72" s="10" t="n">
        <f aca="false">'Promo in T'!L18</f>
        <v>250</v>
      </c>
      <c r="M72" s="10" t="n">
        <f aca="false">'Promo in T'!M18</f>
        <v>2000</v>
      </c>
    </row>
    <row r="73" customFormat="false" ht="15" hidden="false" customHeight="false" outlineLevel="0" collapsed="false">
      <c r="B73" s="4" t="s">
        <v>102</v>
      </c>
      <c r="D73" s="10" t="n">
        <f aca="false">'Promo in T'!Q18</f>
        <v>115</v>
      </c>
      <c r="E73" s="10" t="n">
        <f aca="false">'Promo in T'!R18</f>
        <v>115</v>
      </c>
      <c r="F73" s="10" t="n">
        <f aca="false">'Promo in T'!S18</f>
        <v>230</v>
      </c>
      <c r="G73" s="10" t="n">
        <f aca="false">'Promo in T'!T18</f>
        <v>230</v>
      </c>
      <c r="H73" s="10" t="n">
        <f aca="false">'Promo in T'!U18</f>
        <v>230</v>
      </c>
      <c r="I73" s="10" t="n">
        <f aca="false">'Promo in T'!V18</f>
        <v>230</v>
      </c>
      <c r="J73" s="10" t="n">
        <f aca="false">'Promo in T'!W18</f>
        <v>230</v>
      </c>
      <c r="K73" s="10" t="n">
        <f aca="false">'Promo in T'!X18</f>
        <v>230</v>
      </c>
      <c r="L73" s="10" t="n">
        <f aca="false">'Promo in T'!Y18</f>
        <v>230</v>
      </c>
      <c r="M73" s="10" t="n">
        <f aca="false">'Promo in T'!Z18</f>
        <v>1955</v>
      </c>
    </row>
    <row r="74" customFormat="false" ht="15" hidden="false" customHeight="false" outlineLevel="0" collapsed="false">
      <c r="B74" s="4" t="s">
        <v>103</v>
      </c>
      <c r="D74" s="10" t="n">
        <f aca="false">'Promo in T'!D37</f>
        <v>125</v>
      </c>
      <c r="E74" s="10" t="n">
        <f aca="false">'Promo in T'!E37</f>
        <v>128.75</v>
      </c>
      <c r="F74" s="10" t="n">
        <f aca="false">'Promo in T'!F37</f>
        <v>130</v>
      </c>
      <c r="G74" s="10" t="n">
        <f aca="false">'Promo in T'!G37</f>
        <v>206.25</v>
      </c>
      <c r="H74" s="10" t="n">
        <f aca="false">'Promo in T'!H37</f>
        <v>232.5</v>
      </c>
      <c r="I74" s="10" t="n">
        <f aca="false">'Promo in T'!I37</f>
        <v>241.25</v>
      </c>
      <c r="J74" s="10" t="n">
        <f aca="false">'Promo in T'!J37</f>
        <v>250</v>
      </c>
      <c r="K74" s="10" t="n">
        <f aca="false">'Promo in T'!K37</f>
        <v>250</v>
      </c>
      <c r="L74" s="10" t="n">
        <f aca="false">'Promo in T'!L37</f>
        <v>250</v>
      </c>
      <c r="M74" s="10" t="n">
        <f aca="false">'Promo in T'!M37</f>
        <v>1593.75</v>
      </c>
    </row>
    <row r="75" customFormat="false" ht="15" hidden="false" customHeight="false" outlineLevel="0" collapsed="false">
      <c r="B75" s="4" t="s">
        <v>104</v>
      </c>
      <c r="D75" s="10" t="n">
        <f aca="false">'Promo in T'!Q37</f>
        <v>125</v>
      </c>
      <c r="E75" s="10" t="n">
        <f aca="false">'Promo in T'!R37</f>
        <v>125</v>
      </c>
      <c r="F75" s="10" t="n">
        <f aca="false">'Promo in T'!S37</f>
        <v>125</v>
      </c>
      <c r="G75" s="10" t="n">
        <f aca="false">'Promo in T'!T37</f>
        <v>230</v>
      </c>
      <c r="H75" s="10" t="n">
        <f aca="false">'Promo in T'!U37</f>
        <v>230</v>
      </c>
      <c r="I75" s="10" t="n">
        <f aca="false">'Promo in T'!V37</f>
        <v>230</v>
      </c>
      <c r="J75" s="10" t="n">
        <f aca="false">'Promo in T'!W37</f>
        <v>230</v>
      </c>
      <c r="K75" s="10" t="n">
        <f aca="false">'Promo in T'!X37</f>
        <v>230</v>
      </c>
      <c r="L75" s="10" t="n">
        <f aca="false">'Promo in T'!Y37</f>
        <v>230</v>
      </c>
      <c r="M75" s="10" t="n">
        <f aca="false">'Promo in T'!Z37</f>
        <v>1570</v>
      </c>
    </row>
    <row r="76" customFormat="false" ht="15" hidden="false" customHeight="false" outlineLevel="0" collapsed="false">
      <c r="B76" s="4" t="s">
        <v>105</v>
      </c>
      <c r="D76" s="10" t="n">
        <f aca="false">'Promo in T'!D56</f>
        <v>125</v>
      </c>
      <c r="E76" s="10" t="n">
        <f aca="false">'Promo in T'!E56</f>
        <v>128.75</v>
      </c>
      <c r="F76" s="10" t="n">
        <f aca="false">'Promo in T'!F56</f>
        <v>130</v>
      </c>
      <c r="G76" s="10" t="n">
        <f aca="false">'Promo in T'!G56</f>
        <v>206.25</v>
      </c>
      <c r="H76" s="10" t="n">
        <f aca="false">'Promo in T'!H56</f>
        <v>228.75</v>
      </c>
      <c r="I76" s="10" t="n">
        <f aca="false">'Promo in T'!I56</f>
        <v>240</v>
      </c>
      <c r="J76" s="10" t="n">
        <f aca="false">'Promo in T'!J56</f>
        <v>248.75</v>
      </c>
      <c r="K76" s="10" t="n">
        <f aca="false">'Promo in T'!K56</f>
        <v>250</v>
      </c>
      <c r="L76" s="10" t="n">
        <f aca="false">'Promo in T'!L56</f>
        <v>250</v>
      </c>
      <c r="M76" s="10" t="n">
        <f aca="false">'Promo in T'!M56</f>
        <v>1562.5</v>
      </c>
    </row>
    <row r="77" customFormat="false" ht="15" hidden="false" customHeight="false" outlineLevel="0" collapsed="false">
      <c r="B77" s="4" t="s">
        <v>106</v>
      </c>
      <c r="D77" s="10" t="n">
        <f aca="false">'Promo in T'!Q57</f>
        <v>125</v>
      </c>
      <c r="E77" s="10" t="n">
        <f aca="false">'Promo in T'!R57</f>
        <v>125</v>
      </c>
      <c r="F77" s="10" t="n">
        <f aca="false">'Promo in T'!S57</f>
        <v>125</v>
      </c>
      <c r="G77" s="10" t="n">
        <f aca="false">'Promo in T'!T57</f>
        <v>230</v>
      </c>
      <c r="H77" s="10" t="n">
        <f aca="false">'Promo in T'!U57</f>
        <v>230</v>
      </c>
      <c r="I77" s="10" t="n">
        <f aca="false">'Promo in T'!V57</f>
        <v>230</v>
      </c>
      <c r="J77" s="10" t="n">
        <f aca="false">'Promo in T'!W57</f>
        <v>230</v>
      </c>
      <c r="K77" s="10" t="n">
        <f aca="false">'Promo in T'!X57</f>
        <v>230</v>
      </c>
      <c r="L77" s="10" t="n">
        <f aca="false">'Promo in T'!Y57</f>
        <v>230</v>
      </c>
      <c r="M77" s="10" t="n">
        <f aca="false">'Promo in T'!Z57</f>
        <v>1545</v>
      </c>
    </row>
    <row r="78" customFormat="false" ht="15" hidden="false" customHeight="false" outlineLevel="0" collapsed="false">
      <c r="B78" s="4" t="s">
        <v>107</v>
      </c>
      <c r="D78" s="10" t="n">
        <f aca="false">'Promo in T'!D76</f>
        <v>125</v>
      </c>
      <c r="E78" s="10" t="n">
        <f aca="false">'Promo in T'!E76</f>
        <v>128.75</v>
      </c>
      <c r="F78" s="10" t="n">
        <f aca="false">'Promo in T'!F76</f>
        <v>130</v>
      </c>
      <c r="G78" s="10" t="n">
        <f aca="false">'Promo in T'!G76</f>
        <v>206.25</v>
      </c>
      <c r="H78" s="10" t="n">
        <f aca="false">'Promo in T'!H76</f>
        <v>225</v>
      </c>
      <c r="I78" s="10" t="n">
        <f aca="false">'Promo in T'!I76</f>
        <v>238.75</v>
      </c>
      <c r="J78" s="10" t="n">
        <f aca="false">'Promo in T'!J76</f>
        <v>247.5</v>
      </c>
      <c r="K78" s="10" t="n">
        <f aca="false">'Promo in T'!K76</f>
        <v>250</v>
      </c>
      <c r="L78" s="10" t="n">
        <f aca="false">'Promo in T'!L76</f>
        <v>250</v>
      </c>
      <c r="M78" s="10" t="n">
        <f aca="false">'Promo in T'!M76</f>
        <v>1531.25</v>
      </c>
    </row>
    <row r="79" customFormat="false" ht="15" hidden="false" customHeight="false" outlineLevel="0" collapsed="false">
      <c r="B79" s="4" t="s">
        <v>108</v>
      </c>
      <c r="D79" s="10" t="n">
        <f aca="false">'Promo in T'!Q77</f>
        <v>125</v>
      </c>
      <c r="E79" s="10" t="n">
        <f aca="false">'Promo in T'!R77</f>
        <v>125</v>
      </c>
      <c r="F79" s="10" t="n">
        <f aca="false">'Promo in T'!S77</f>
        <v>125</v>
      </c>
      <c r="G79" s="10" t="n">
        <f aca="false">'Promo in T'!T77</f>
        <v>230</v>
      </c>
      <c r="H79" s="10" t="n">
        <f aca="false">'Promo in T'!U77</f>
        <v>230</v>
      </c>
      <c r="I79" s="10" t="n">
        <f aca="false">'Promo in T'!V77</f>
        <v>230</v>
      </c>
      <c r="J79" s="10" t="n">
        <f aca="false">'Promo in T'!W77</f>
        <v>230</v>
      </c>
      <c r="K79" s="10" t="n">
        <f aca="false">'Promo in T'!X77</f>
        <v>230</v>
      </c>
      <c r="L79" s="10" t="n">
        <f aca="false">'Promo in T'!Y77</f>
        <v>230</v>
      </c>
      <c r="M79" s="10" t="n">
        <f aca="false">'Promo in T'!Z77</f>
        <v>1520</v>
      </c>
    </row>
    <row r="80" customFormat="false" ht="15" hidden="false" customHeight="false" outlineLevel="0" collapsed="false">
      <c r="B80" s="4" t="s">
        <v>109</v>
      </c>
      <c r="D80" s="10" t="n">
        <f aca="false">'Promo in T'!D96</f>
        <v>125</v>
      </c>
      <c r="E80" s="10" t="n">
        <f aca="false">'Promo in T'!E96</f>
        <v>128.75</v>
      </c>
      <c r="F80" s="10" t="n">
        <f aca="false">'Promo in T'!F96</f>
        <v>130</v>
      </c>
      <c r="G80" s="10" t="n">
        <f aca="false">'Promo in T'!G96</f>
        <v>206.25</v>
      </c>
      <c r="H80" s="10" t="n">
        <f aca="false">'Promo in T'!H96</f>
        <v>221.25</v>
      </c>
      <c r="I80" s="10" t="n">
        <f aca="false">'Promo in T'!I96</f>
        <v>237.5</v>
      </c>
      <c r="J80" s="10" t="n">
        <f aca="false">'Promo in T'!J96</f>
        <v>246.25</v>
      </c>
      <c r="K80" s="10" t="n">
        <f aca="false">'Promo in T'!K96</f>
        <v>250</v>
      </c>
      <c r="L80" s="10" t="n">
        <f aca="false">'Promo in T'!L96</f>
        <v>250</v>
      </c>
      <c r="M80" s="10" t="n">
        <f aca="false">'Promo in T'!M96</f>
        <v>1500</v>
      </c>
    </row>
    <row r="81" customFormat="false" ht="15" hidden="false" customHeight="false" outlineLevel="0" collapsed="false">
      <c r="B81" s="4" t="s">
        <v>110</v>
      </c>
      <c r="D81" s="10" t="n">
        <f aca="false">'Promo in T'!Q97</f>
        <v>125</v>
      </c>
      <c r="E81" s="10" t="n">
        <f aca="false">'Promo in T'!R97</f>
        <v>125</v>
      </c>
      <c r="F81" s="10" t="n">
        <f aca="false">'Promo in T'!S97</f>
        <v>125</v>
      </c>
      <c r="G81" s="10" t="n">
        <f aca="false">'Promo in T'!T97</f>
        <v>230</v>
      </c>
      <c r="H81" s="10" t="n">
        <f aca="false">'Promo in T'!U97</f>
        <v>230</v>
      </c>
      <c r="I81" s="10" t="n">
        <f aca="false">'Promo in T'!V97</f>
        <v>230</v>
      </c>
      <c r="J81" s="10" t="n">
        <f aca="false">'Promo in T'!W97</f>
        <v>230</v>
      </c>
      <c r="K81" s="10" t="n">
        <f aca="false">'Promo in T'!X97</f>
        <v>230</v>
      </c>
      <c r="L81" s="10" t="n">
        <f aca="false">'Promo in T'!Y97</f>
        <v>230</v>
      </c>
      <c r="M81" s="10" t="n">
        <f aca="false">'Promo in T'!Z97</f>
        <v>1495</v>
      </c>
    </row>
    <row r="82" customFormat="false" ht="15" hidden="false" customHeight="false" outlineLevel="0" collapsed="false">
      <c r="B82" s="4" t="s">
        <v>111</v>
      </c>
      <c r="D82" s="10" t="n">
        <f aca="false">'Promo in T'!D116</f>
        <v>200</v>
      </c>
      <c r="E82" s="10" t="n">
        <f aca="false">'Promo in T'!E116</f>
        <v>222.5</v>
      </c>
      <c r="F82" s="10" t="n">
        <f aca="false">'Promo in T'!F116</f>
        <v>237.5</v>
      </c>
      <c r="G82" s="10" t="n">
        <f aca="false">'Promo in T'!G116</f>
        <v>247.5</v>
      </c>
      <c r="H82" s="10" t="n">
        <f aca="false">'Promo in T'!H116</f>
        <v>250</v>
      </c>
      <c r="I82" s="10" t="n">
        <f aca="false">'Promo in T'!I116</f>
        <v>250</v>
      </c>
      <c r="J82" s="10" t="n">
        <f aca="false">'Promo in T'!J116</f>
        <v>250</v>
      </c>
      <c r="K82" s="10" t="n">
        <f aca="false">'Promo in T'!K116</f>
        <v>250</v>
      </c>
      <c r="L82" s="10" t="n">
        <f aca="false">'Promo in T'!L116</f>
        <v>250</v>
      </c>
      <c r="M82" s="10" t="n">
        <f aca="false">'Promo in T'!M116</f>
        <v>2187.5</v>
      </c>
    </row>
    <row r="83" customFormat="false" ht="15" hidden="false" customHeight="false" outlineLevel="0" collapsed="false">
      <c r="B83" s="4" t="s">
        <v>112</v>
      </c>
      <c r="D83" s="10" t="n">
        <f aca="false">'Promo in T'!Q117</f>
        <v>230</v>
      </c>
      <c r="E83" s="10" t="n">
        <f aca="false">'Promo in T'!R117</f>
        <v>230</v>
      </c>
      <c r="F83" s="10" t="n">
        <f aca="false">'Promo in T'!S117</f>
        <v>230</v>
      </c>
      <c r="G83" s="10" t="n">
        <f aca="false">'Promo in T'!T117</f>
        <v>230</v>
      </c>
      <c r="H83" s="10" t="n">
        <f aca="false">'Promo in T'!U117</f>
        <v>230</v>
      </c>
      <c r="I83" s="10" t="n">
        <f aca="false">'Promo in T'!V117</f>
        <v>230</v>
      </c>
      <c r="J83" s="10" t="n">
        <f aca="false">'Promo in T'!W117</f>
        <v>230</v>
      </c>
      <c r="K83" s="10" t="n">
        <f aca="false">'Promo in T'!X117</f>
        <v>230</v>
      </c>
      <c r="L83" s="10" t="n">
        <f aca="false">'Promo in T'!Y117</f>
        <v>230</v>
      </c>
      <c r="M83" s="10" t="n">
        <f aca="false">'Promo in T'!Z117</f>
        <v>2135</v>
      </c>
    </row>
    <row r="84" customFormat="false" ht="15" hidden="false" customHeight="false" outlineLevel="0" collapsed="false">
      <c r="B84" s="4" t="s">
        <v>113</v>
      </c>
      <c r="D84" s="10" t="n">
        <f aca="false">'Promo in T'!D136</f>
        <v>200</v>
      </c>
      <c r="E84" s="10" t="n">
        <f aca="false">'Promo in T'!E136</f>
        <v>218.75</v>
      </c>
      <c r="F84" s="10" t="n">
        <f aca="false">'Promo in T'!F136</f>
        <v>236.25</v>
      </c>
      <c r="G84" s="10" t="n">
        <f aca="false">'Promo in T'!G136</f>
        <v>246.25</v>
      </c>
      <c r="H84" s="10" t="n">
        <f aca="false">'Promo in T'!H136</f>
        <v>250</v>
      </c>
      <c r="I84" s="10" t="n">
        <f aca="false">'Promo in T'!I136</f>
        <v>250</v>
      </c>
      <c r="J84" s="10" t="n">
        <f aca="false">'Promo in T'!J136</f>
        <v>250</v>
      </c>
      <c r="K84" s="10" t="n">
        <f aca="false">'Promo in T'!K136</f>
        <v>250</v>
      </c>
      <c r="L84" s="10" t="n">
        <f aca="false">'Promo in T'!L136</f>
        <v>250</v>
      </c>
      <c r="M84" s="10" t="n">
        <f aca="false">'Promo in T'!M136</f>
        <v>2156.25</v>
      </c>
    </row>
    <row r="85" customFormat="false" ht="15" hidden="false" customHeight="false" outlineLevel="0" collapsed="false">
      <c r="B85" s="4" t="s">
        <v>114</v>
      </c>
      <c r="D85" s="10" t="n">
        <f aca="false">'Promo in T'!Q137</f>
        <v>230</v>
      </c>
      <c r="E85" s="10" t="n">
        <f aca="false">'Promo in T'!R137</f>
        <v>230</v>
      </c>
      <c r="F85" s="10" t="n">
        <f aca="false">'Promo in T'!S137</f>
        <v>230</v>
      </c>
      <c r="G85" s="10" t="n">
        <f aca="false">'Promo in T'!T137</f>
        <v>230</v>
      </c>
      <c r="H85" s="10" t="n">
        <f aca="false">'Promo in T'!U137</f>
        <v>230</v>
      </c>
      <c r="I85" s="10" t="n">
        <f aca="false">'Promo in T'!V137</f>
        <v>230</v>
      </c>
      <c r="J85" s="10" t="n">
        <f aca="false">'Promo in T'!W137</f>
        <v>230</v>
      </c>
      <c r="K85" s="10" t="n">
        <f aca="false">'Promo in T'!X137</f>
        <v>230</v>
      </c>
      <c r="L85" s="10" t="n">
        <f aca="false">'Promo in T'!Y137</f>
        <v>230</v>
      </c>
      <c r="M85" s="10" t="n">
        <f aca="false">'Promo in T'!Z137</f>
        <v>2110</v>
      </c>
    </row>
    <row r="86" customFormat="false" ht="15" hidden="false" customHeight="false" outlineLevel="0" collapsed="false">
      <c r="B86" s="4" t="s">
        <v>115</v>
      </c>
      <c r="D86" s="10" t="n">
        <f aca="false">'Promo in T'!D156</f>
        <v>175</v>
      </c>
      <c r="E86" s="10" t="n">
        <f aca="false">'Promo in T'!E156</f>
        <v>203.75</v>
      </c>
      <c r="F86" s="10" t="n">
        <f aca="false">'Promo in T'!F156</f>
        <v>212.5</v>
      </c>
      <c r="G86" s="10" t="n">
        <f aca="false">'Promo in T'!G156</f>
        <v>235</v>
      </c>
      <c r="H86" s="10" t="n">
        <f aca="false">'Promo in T'!H156</f>
        <v>243.75</v>
      </c>
      <c r="I86" s="10" t="n">
        <f aca="false">'Promo in T'!I156</f>
        <v>250</v>
      </c>
      <c r="J86" s="10" t="n">
        <f aca="false">'Promo in T'!J156</f>
        <v>250</v>
      </c>
      <c r="K86" s="10" t="n">
        <f aca="false">'Promo in T'!K156</f>
        <v>250</v>
      </c>
      <c r="L86" s="10" t="n">
        <f aca="false">'Promo in T'!L156</f>
        <v>250</v>
      </c>
      <c r="M86" s="10" t="n">
        <f aca="false">'Promo in T'!M156</f>
        <v>1875</v>
      </c>
    </row>
    <row r="87" customFormat="false" ht="15" hidden="false" customHeight="false" outlineLevel="0" collapsed="false">
      <c r="B87" s="4" t="s">
        <v>116</v>
      </c>
      <c r="D87" s="10" t="n">
        <f aca="false">'Promo in T'!Q156</f>
        <v>175</v>
      </c>
      <c r="E87" s="10" t="n">
        <f aca="false">'Promo in T'!R156</f>
        <v>230</v>
      </c>
      <c r="F87" s="10" t="n">
        <f aca="false">'Promo in T'!S156</f>
        <v>230</v>
      </c>
      <c r="G87" s="10" t="n">
        <f aca="false">'Promo in T'!T156</f>
        <v>230</v>
      </c>
      <c r="H87" s="10" t="n">
        <f aca="false">'Promo in T'!U156</f>
        <v>230</v>
      </c>
      <c r="I87" s="10" t="n">
        <f aca="false">'Promo in T'!V156</f>
        <v>230</v>
      </c>
      <c r="J87" s="10" t="n">
        <f aca="false">'Promo in T'!W156</f>
        <v>230</v>
      </c>
      <c r="K87" s="10" t="n">
        <f aca="false">'Promo in T'!X156</f>
        <v>230</v>
      </c>
      <c r="L87" s="10" t="n">
        <f aca="false">'Promo in T'!Y156</f>
        <v>230</v>
      </c>
      <c r="M87" s="10" t="n">
        <f aca="false">'Promo in T'!Z156</f>
        <v>1855</v>
      </c>
    </row>
    <row r="89" customFormat="false" ht="15" hidden="false" customHeight="false" outlineLevel="0" collapsed="false">
      <c r="B89" s="5" t="s">
        <v>85</v>
      </c>
      <c r="C89" s="6"/>
      <c r="D89" s="7" t="s">
        <v>91</v>
      </c>
      <c r="E89" s="7" t="s">
        <v>92</v>
      </c>
      <c r="F89" s="7" t="s">
        <v>93</v>
      </c>
      <c r="G89" s="7" t="s">
        <v>94</v>
      </c>
      <c r="H89" s="7" t="s">
        <v>95</v>
      </c>
      <c r="I89" s="7" t="s">
        <v>96</v>
      </c>
      <c r="J89" s="7" t="s">
        <v>97</v>
      </c>
      <c r="K89" s="7" t="s">
        <v>98</v>
      </c>
      <c r="L89" s="7" t="s">
        <v>99</v>
      </c>
      <c r="M89" s="16" t="s">
        <v>100</v>
      </c>
    </row>
    <row r="90" customFormat="false" ht="15" hidden="false" customHeight="false" outlineLevel="0" collapsed="false">
      <c r="B90" s="2" t="s">
        <v>117</v>
      </c>
    </row>
    <row r="91" customFormat="false" ht="15" hidden="false" customHeight="false" outlineLevel="0" collapsed="false">
      <c r="B91" s="4" t="s">
        <v>103</v>
      </c>
      <c r="D91" s="10" t="n">
        <f aca="false">'Promo before T'!D22</f>
        <v>125</v>
      </c>
      <c r="E91" s="10" t="n">
        <f aca="false">'Promo before T'!E22</f>
        <v>128.75</v>
      </c>
      <c r="F91" s="10" t="n">
        <f aca="false">'Promo before T'!F22</f>
        <v>205</v>
      </c>
      <c r="G91" s="10" t="n">
        <f aca="false">'Promo before T'!G22</f>
        <v>217.5</v>
      </c>
      <c r="H91" s="10" t="n">
        <f aca="false">'Promo before T'!H22</f>
        <v>236.25</v>
      </c>
      <c r="I91" s="10" t="n">
        <f aca="false">'Promo before T'!I22</f>
        <v>245</v>
      </c>
      <c r="J91" s="10" t="n">
        <f aca="false">'Promo before T'!J22</f>
        <v>250</v>
      </c>
      <c r="K91" s="10" t="n">
        <f aca="false">'Promo before T'!K22</f>
        <v>250</v>
      </c>
      <c r="L91" s="10" t="n">
        <f aca="false">'Promo before T'!L22</f>
        <v>250</v>
      </c>
      <c r="M91" s="10" t="n">
        <f aca="false">'Promo before T'!M22</f>
        <v>1687.5</v>
      </c>
    </row>
    <row r="92" customFormat="false" ht="15" hidden="false" customHeight="false" outlineLevel="0" collapsed="false">
      <c r="B92" s="4" t="s">
        <v>104</v>
      </c>
      <c r="D92" s="10" t="n">
        <f aca="false">'Promo before T'!Q22</f>
        <v>125</v>
      </c>
      <c r="E92" s="10" t="n">
        <f aca="false">'Promo before T'!R22</f>
        <v>125</v>
      </c>
      <c r="F92" s="10" t="n">
        <f aca="false">'Promo before T'!S22</f>
        <v>230</v>
      </c>
      <c r="G92" s="10" t="n">
        <f aca="false">'Promo before T'!T22</f>
        <v>230</v>
      </c>
      <c r="H92" s="10" t="n">
        <f aca="false">'Promo before T'!U22</f>
        <v>230</v>
      </c>
      <c r="I92" s="10" t="n">
        <f aca="false">'Promo before T'!V22</f>
        <v>230</v>
      </c>
      <c r="J92" s="10" t="n">
        <f aca="false">'Promo before T'!W22</f>
        <v>230</v>
      </c>
      <c r="K92" s="10" t="n">
        <f aca="false">'Promo before T'!X22</f>
        <v>230</v>
      </c>
      <c r="L92" s="10" t="n">
        <f aca="false">'Promo before T'!Y22</f>
        <v>230</v>
      </c>
      <c r="M92" s="10" t="n">
        <f aca="false">'Promo before T'!Z22</f>
        <v>1675</v>
      </c>
    </row>
    <row r="93" customFormat="false" ht="15" hidden="false" customHeight="false" outlineLevel="0" collapsed="false">
      <c r="B93" s="4" t="s">
        <v>105</v>
      </c>
      <c r="D93" s="10" t="n">
        <f aca="false">'Promo before T'!D41</f>
        <v>125</v>
      </c>
      <c r="E93" s="10" t="n">
        <f aca="false">'Promo before T'!E41</f>
        <v>128.75</v>
      </c>
      <c r="F93" s="10" t="n">
        <f aca="false">'Promo before T'!F41</f>
        <v>205</v>
      </c>
      <c r="G93" s="10" t="n">
        <f aca="false">'Promo before T'!G41</f>
        <v>217.5</v>
      </c>
      <c r="H93" s="10" t="n">
        <f aca="false">'Promo before T'!H41</f>
        <v>232.5</v>
      </c>
      <c r="I93" s="10" t="n">
        <f aca="false">'Promo before T'!I41</f>
        <v>243.75</v>
      </c>
      <c r="J93" s="10" t="n">
        <f aca="false">'Promo before T'!J41</f>
        <v>248.75</v>
      </c>
      <c r="K93" s="10" t="n">
        <f aca="false">'Promo before T'!K41</f>
        <v>250</v>
      </c>
      <c r="L93" s="10" t="n">
        <f aca="false">'Promo before T'!L41</f>
        <v>250</v>
      </c>
      <c r="M93" s="10" t="n">
        <f aca="false">'Promo before T'!M41</f>
        <v>1656.25</v>
      </c>
    </row>
    <row r="94" customFormat="false" ht="15" hidden="false" customHeight="false" outlineLevel="0" collapsed="false">
      <c r="B94" s="4" t="s">
        <v>106</v>
      </c>
      <c r="D94" s="10" t="n">
        <f aca="false">'Promo before T'!Q42</f>
        <v>125</v>
      </c>
      <c r="E94" s="10" t="n">
        <f aca="false">'Promo before T'!R42</f>
        <v>125</v>
      </c>
      <c r="F94" s="10" t="n">
        <f aca="false">'Promo before T'!S42</f>
        <v>230</v>
      </c>
      <c r="G94" s="10" t="n">
        <f aca="false">'Promo before T'!T42</f>
        <v>230</v>
      </c>
      <c r="H94" s="10" t="n">
        <f aca="false">'Promo before T'!U42</f>
        <v>230</v>
      </c>
      <c r="I94" s="10" t="n">
        <f aca="false">'Promo before T'!V42</f>
        <v>230</v>
      </c>
      <c r="J94" s="10" t="n">
        <f aca="false">'Promo before T'!W42</f>
        <v>230</v>
      </c>
      <c r="K94" s="10" t="n">
        <f aca="false">'Promo before T'!X42</f>
        <v>230</v>
      </c>
      <c r="L94" s="10" t="n">
        <f aca="false">'Promo before T'!Y42</f>
        <v>230</v>
      </c>
      <c r="M94" s="10" t="n">
        <f aca="false">'Promo before T'!Z42</f>
        <v>1650</v>
      </c>
    </row>
    <row r="95" customFormat="false" ht="15" hidden="false" customHeight="false" outlineLevel="0" collapsed="false">
      <c r="B95" s="4" t="s">
        <v>107</v>
      </c>
      <c r="D95" s="10" t="n">
        <f aca="false">'Promo before T'!D61</f>
        <v>125</v>
      </c>
      <c r="E95" s="10" t="n">
        <f aca="false">'Promo before T'!E61</f>
        <v>128.75</v>
      </c>
      <c r="F95" s="10" t="n">
        <f aca="false">'Promo before T'!F61</f>
        <v>205</v>
      </c>
      <c r="G95" s="10" t="n">
        <f aca="false">'Promo before T'!G61</f>
        <v>217.5</v>
      </c>
      <c r="H95" s="10" t="n">
        <f aca="false">'Promo before T'!H61</f>
        <v>228.75</v>
      </c>
      <c r="I95" s="10" t="n">
        <f aca="false">'Promo before T'!I61</f>
        <v>242.5</v>
      </c>
      <c r="J95" s="10" t="n">
        <f aca="false">'Promo before T'!J61</f>
        <v>247.5</v>
      </c>
      <c r="K95" s="10" t="n">
        <f aca="false">'Promo before T'!K61</f>
        <v>250</v>
      </c>
      <c r="L95" s="10" t="n">
        <f aca="false">'Promo before T'!L61</f>
        <v>250</v>
      </c>
      <c r="M95" s="10" t="n">
        <f aca="false">'Promo before T'!M61</f>
        <v>1625</v>
      </c>
    </row>
    <row r="96" customFormat="false" ht="15" hidden="false" customHeight="false" outlineLevel="0" collapsed="false">
      <c r="B96" s="4" t="s">
        <v>108</v>
      </c>
      <c r="D96" s="10" t="n">
        <f aca="false">'Promo before T'!Q62</f>
        <v>125</v>
      </c>
      <c r="E96" s="10" t="n">
        <f aca="false">'Promo before T'!R62</f>
        <v>125</v>
      </c>
      <c r="F96" s="10" t="n">
        <f aca="false">'Promo before T'!S62</f>
        <v>230</v>
      </c>
      <c r="G96" s="10" t="n">
        <f aca="false">'Promo before T'!T62</f>
        <v>230</v>
      </c>
      <c r="H96" s="10" t="n">
        <f aca="false">'Promo before T'!U62</f>
        <v>230</v>
      </c>
      <c r="I96" s="10" t="n">
        <f aca="false">'Promo before T'!V62</f>
        <v>230</v>
      </c>
      <c r="J96" s="10" t="n">
        <f aca="false">'Promo before T'!W62</f>
        <v>230</v>
      </c>
      <c r="K96" s="10" t="n">
        <f aca="false">'Promo before T'!X62</f>
        <v>230</v>
      </c>
      <c r="L96" s="10" t="n">
        <f aca="false">'Promo before T'!Y62</f>
        <v>230</v>
      </c>
      <c r="M96" s="10" t="n">
        <f aca="false">'Promo before T'!Z62</f>
        <v>1625</v>
      </c>
    </row>
    <row r="97" customFormat="false" ht="15" hidden="false" customHeight="false" outlineLevel="0" collapsed="false">
      <c r="B97" s="4" t="s">
        <v>109</v>
      </c>
      <c r="D97" s="10" t="n">
        <f aca="false">'Promo before T'!D81</f>
        <v>125</v>
      </c>
      <c r="E97" s="10" t="n">
        <f aca="false">'Promo before T'!E81</f>
        <v>128.75</v>
      </c>
      <c r="F97" s="10" t="n">
        <f aca="false">'Promo before T'!F81</f>
        <v>205</v>
      </c>
      <c r="G97" s="10" t="n">
        <f aca="false">'Promo before T'!G81</f>
        <v>217.5</v>
      </c>
      <c r="H97" s="10" t="n">
        <f aca="false">'Promo before T'!H81</f>
        <v>225</v>
      </c>
      <c r="I97" s="10" t="n">
        <f aca="false">'Promo before T'!I81</f>
        <v>241.25</v>
      </c>
      <c r="J97" s="10" t="n">
        <f aca="false">'Promo before T'!J81</f>
        <v>246.25</v>
      </c>
      <c r="K97" s="10" t="n">
        <f aca="false">'Promo before T'!K81</f>
        <v>250</v>
      </c>
      <c r="L97" s="10" t="n">
        <f aca="false">'Promo before T'!L81</f>
        <v>250</v>
      </c>
      <c r="M97" s="10" t="n">
        <f aca="false">'Promo before T'!M81</f>
        <v>1593.75</v>
      </c>
    </row>
    <row r="98" customFormat="false" ht="15" hidden="false" customHeight="false" outlineLevel="0" collapsed="false">
      <c r="B98" s="4" t="s">
        <v>110</v>
      </c>
      <c r="D98" s="10" t="n">
        <f aca="false">'Promo before T'!Q82</f>
        <v>125</v>
      </c>
      <c r="E98" s="10" t="n">
        <f aca="false">'Promo before T'!R82</f>
        <v>125</v>
      </c>
      <c r="F98" s="10" t="n">
        <f aca="false">'Promo before T'!S82</f>
        <v>230</v>
      </c>
      <c r="G98" s="10" t="n">
        <f aca="false">'Promo before T'!T82</f>
        <v>230</v>
      </c>
      <c r="H98" s="10" t="n">
        <f aca="false">'Promo before T'!U82</f>
        <v>230</v>
      </c>
      <c r="I98" s="10" t="n">
        <f aca="false">'Promo before T'!V82</f>
        <v>230</v>
      </c>
      <c r="J98" s="10" t="n">
        <f aca="false">'Promo before T'!W82</f>
        <v>230</v>
      </c>
      <c r="K98" s="10" t="n">
        <f aca="false">'Promo before T'!X82</f>
        <v>230</v>
      </c>
      <c r="L98" s="10" t="n">
        <f aca="false">'Promo before T'!Y82</f>
        <v>230</v>
      </c>
      <c r="M98" s="10" t="n">
        <f aca="false">'Promo before T'!Z82</f>
        <v>1600</v>
      </c>
    </row>
    <row r="99" customFormat="false" ht="15" hidden="false" customHeight="false" outlineLevel="0" collapsed="false">
      <c r="B99" s="2" t="s">
        <v>118</v>
      </c>
    </row>
    <row r="100" customFormat="false" ht="15" hidden="false" customHeight="false" outlineLevel="0" collapsed="false">
      <c r="B100" s="2" t="s">
        <v>119</v>
      </c>
    </row>
    <row r="101" customFormat="false" ht="15" hidden="false" customHeight="false" outlineLevel="0" collapsed="false">
      <c r="B101" s="4" t="s">
        <v>115</v>
      </c>
      <c r="D101" s="10" t="n">
        <f aca="false">'Promo before T'!D109</f>
        <v>200</v>
      </c>
      <c r="E101" s="10" t="n">
        <f aca="false">'Promo before T'!E109</f>
        <v>207.5</v>
      </c>
      <c r="F101" s="10" t="n">
        <f aca="false">'Promo before T'!F109</f>
        <v>213.75</v>
      </c>
      <c r="G101" s="10" t="n">
        <f aca="false">'Promo before T'!G109</f>
        <v>236.25</v>
      </c>
      <c r="H101" s="10" t="n">
        <f aca="false">'Promo before T'!H109</f>
        <v>243.75</v>
      </c>
      <c r="I101" s="10" t="n">
        <f aca="false">'Promo before T'!I109</f>
        <v>250</v>
      </c>
      <c r="J101" s="10" t="n">
        <f aca="false">'Promo before T'!J109</f>
        <v>250</v>
      </c>
      <c r="K101" s="10" t="n">
        <f aca="false">'Promo before T'!K109</f>
        <v>250</v>
      </c>
      <c r="L101" s="10" t="n">
        <f aca="false">'Promo before T'!L109</f>
        <v>250</v>
      </c>
      <c r="M101" s="10" t="n">
        <f aca="false">'Promo before T'!M109</f>
        <v>1906.25</v>
      </c>
    </row>
    <row r="102" customFormat="false" ht="15" hidden="false" customHeight="false" outlineLevel="0" collapsed="false">
      <c r="B102" s="4" t="s">
        <v>116</v>
      </c>
      <c r="D102" s="10" t="n">
        <f aca="false">'Promo before T'!Q109</f>
        <v>230</v>
      </c>
      <c r="E102" s="10" t="n">
        <f aca="false">'Promo before T'!R109</f>
        <v>230</v>
      </c>
      <c r="F102" s="10" t="n">
        <f aca="false">'Promo before T'!S109</f>
        <v>230</v>
      </c>
      <c r="G102" s="10" t="n">
        <f aca="false">'Promo before T'!T109</f>
        <v>230</v>
      </c>
      <c r="H102" s="10" t="n">
        <f aca="false">'Promo before T'!U109</f>
        <v>230</v>
      </c>
      <c r="I102" s="10" t="n">
        <f aca="false">'Promo before T'!V109</f>
        <v>230</v>
      </c>
      <c r="J102" s="10" t="n">
        <f aca="false">'Promo before T'!W109</f>
        <v>230</v>
      </c>
      <c r="K102" s="10" t="n">
        <f aca="false">'Promo before T'!X109</f>
        <v>230</v>
      </c>
      <c r="L102" s="10" t="n">
        <f aca="false">'Promo before T'!Y109</f>
        <v>230</v>
      </c>
      <c r="M102" s="10" t="n">
        <f aca="false">'Promo before T'!Z109</f>
        <v>1910</v>
      </c>
    </row>
    <row r="104" customFormat="false" ht="15" hidden="false" customHeight="false" outlineLevel="0" collapsed="false">
      <c r="B104" s="5" t="s">
        <v>86</v>
      </c>
      <c r="C104" s="6"/>
      <c r="D104" s="7" t="s">
        <v>91</v>
      </c>
      <c r="E104" s="7" t="s">
        <v>92</v>
      </c>
      <c r="F104" s="7" t="s">
        <v>93</v>
      </c>
      <c r="G104" s="7" t="s">
        <v>94</v>
      </c>
      <c r="H104" s="7" t="s">
        <v>95</v>
      </c>
      <c r="I104" s="7" t="s">
        <v>96</v>
      </c>
      <c r="J104" s="7" t="s">
        <v>97</v>
      </c>
      <c r="K104" s="7" t="s">
        <v>98</v>
      </c>
      <c r="L104" s="7" t="s">
        <v>99</v>
      </c>
      <c r="M104" s="16" t="s">
        <v>100</v>
      </c>
    </row>
    <row r="105" customFormat="false" ht="15" hidden="false" customHeight="false" outlineLevel="0" collapsed="false">
      <c r="B105" s="4" t="s">
        <v>101</v>
      </c>
      <c r="D105" s="10" t="n">
        <f aca="false">'Outsized 1.5x in 2030'!D18</f>
        <v>100</v>
      </c>
      <c r="E105" s="10" t="n">
        <f aca="false">'Outsized 1.5x in 2030'!E18</f>
        <v>115</v>
      </c>
      <c r="F105" s="10" t="n">
        <f aca="false">'Outsized 1.5x in 2030'!F18</f>
        <v>120</v>
      </c>
      <c r="G105" s="10" t="n">
        <f aca="false">'Outsized 1.5x in 2030'!G18</f>
        <v>175</v>
      </c>
      <c r="H105" s="10" t="n">
        <f aca="false">'Outsized 1.5x in 2030'!H18</f>
        <v>132.5</v>
      </c>
      <c r="I105" s="10" t="n">
        <f aca="false">'Outsized 1.5x in 2030'!I18</f>
        <v>127.5</v>
      </c>
      <c r="J105" s="10" t="n">
        <f aca="false">'Outsized 1.5x in 2030'!J18</f>
        <v>127.5</v>
      </c>
      <c r="K105" s="10" t="n">
        <f aca="false">'Outsized 1.5x in 2030'!K18</f>
        <v>125</v>
      </c>
      <c r="L105" s="10" t="n">
        <f aca="false">'Outsized 1.5x in 2030'!L18</f>
        <v>125</v>
      </c>
      <c r="M105" s="10" t="n">
        <f aca="false">'Outsized 1.5x in 2030'!M18</f>
        <v>1187.5</v>
      </c>
    </row>
    <row r="106" customFormat="false" ht="15" hidden="false" customHeight="false" outlineLevel="0" collapsed="false">
      <c r="B106" s="4" t="s">
        <v>102</v>
      </c>
      <c r="D106" s="10" t="n">
        <f aca="false">'Outsized 1.5x in 2030'!Q18</f>
        <v>115</v>
      </c>
      <c r="E106" s="10" t="n">
        <f aca="false">'Outsized 1.5x in 2030'!R18</f>
        <v>115</v>
      </c>
      <c r="F106" s="10" t="n">
        <f aca="false">'Outsized 1.5x in 2030'!S18</f>
        <v>115</v>
      </c>
      <c r="G106" s="10" t="n">
        <f aca="false">'Outsized 1.5x in 2030'!T18</f>
        <v>150</v>
      </c>
      <c r="H106" s="10" t="n">
        <f aca="false">'Outsized 1.5x in 2030'!U18</f>
        <v>150</v>
      </c>
      <c r="I106" s="10" t="n">
        <f aca="false">'Outsized 1.5x in 2030'!V18</f>
        <v>115</v>
      </c>
      <c r="J106" s="10" t="n">
        <f aca="false">'Outsized 1.5x in 2030'!W18</f>
        <v>115</v>
      </c>
      <c r="K106" s="10" t="n">
        <f aca="false">'Outsized 1.5x in 2030'!X18</f>
        <v>115</v>
      </c>
      <c r="L106" s="10" t="n">
        <f aca="false">'Outsized 1.5x in 2030'!Y18</f>
        <v>115</v>
      </c>
      <c r="M106" s="10" t="n">
        <f aca="false">'Outsized 1.5x in 2030'!Z18</f>
        <v>1162.5</v>
      </c>
    </row>
    <row r="107" customFormat="false" ht="15" hidden="false" customHeight="false" outlineLevel="0" collapsed="false">
      <c r="B107" s="4" t="s">
        <v>103</v>
      </c>
      <c r="D107" s="10" t="n">
        <f aca="false">'Outsized 1.5x in 2030'!D38</f>
        <v>125</v>
      </c>
      <c r="E107" s="10" t="n">
        <f aca="false">'Outsized 1.5x in 2030'!E38</f>
        <v>128.75</v>
      </c>
      <c r="F107" s="10" t="n">
        <f aca="false">'Outsized 1.5x in 2030'!F38</f>
        <v>130</v>
      </c>
      <c r="G107" s="10" t="n">
        <f aca="false">'Outsized 1.5x in 2030'!G38</f>
        <v>156.25</v>
      </c>
      <c r="H107" s="10" t="n">
        <f aca="false">'Outsized 1.5x in 2030'!H38</f>
        <v>127.5</v>
      </c>
      <c r="I107" s="10" t="n">
        <f aca="false">'Outsized 1.5x in 2030'!I38</f>
        <v>126.25</v>
      </c>
      <c r="J107" s="10" t="n">
        <f aca="false">'Outsized 1.5x in 2030'!J38</f>
        <v>125</v>
      </c>
      <c r="K107" s="10" t="n">
        <f aca="false">'Outsized 1.5x in 2030'!K38</f>
        <v>125</v>
      </c>
      <c r="L107" s="10" t="n">
        <f aca="false">'Outsized 1.5x in 2030'!L38</f>
        <v>125</v>
      </c>
      <c r="M107" s="10" t="n">
        <f aca="false">'Outsized 1.5x in 2030'!M38</f>
        <v>908.75</v>
      </c>
    </row>
    <row r="108" customFormat="false" ht="15" hidden="false" customHeight="false" outlineLevel="0" collapsed="false">
      <c r="B108" s="4" t="s">
        <v>104</v>
      </c>
      <c r="D108" s="10" t="n">
        <f aca="false">'Outsized 1.5x in 2030'!Q37</f>
        <v>125</v>
      </c>
      <c r="E108" s="10" t="n">
        <f aca="false">'Outsized 1.5x in 2030'!R37</f>
        <v>125</v>
      </c>
      <c r="F108" s="10" t="n">
        <f aca="false">'Outsized 1.5x in 2030'!S37</f>
        <v>125</v>
      </c>
      <c r="G108" s="10" t="n">
        <f aca="false">'Outsized 1.5x in 2030'!T37</f>
        <v>150</v>
      </c>
      <c r="H108" s="10" t="n">
        <f aca="false">'Outsized 1.5x in 2030'!U37</f>
        <v>137.5</v>
      </c>
      <c r="I108" s="10" t="n">
        <f aca="false">'Outsized 1.5x in 2030'!V37</f>
        <v>125</v>
      </c>
      <c r="J108" s="10" t="n">
        <f aca="false">'Outsized 1.5x in 2030'!W37</f>
        <v>125</v>
      </c>
      <c r="K108" s="10" t="n">
        <f aca="false">'Outsized 1.5x in 2030'!X37</f>
        <v>125</v>
      </c>
      <c r="L108" s="10" t="n">
        <f aca="false">'Outsized 1.5x in 2030'!Y37</f>
        <v>125</v>
      </c>
      <c r="M108" s="10" t="n">
        <f aca="false">'Outsized 1.5x in 2030'!Z37</f>
        <v>925</v>
      </c>
    </row>
    <row r="109" customFormat="false" ht="15" hidden="false" customHeight="false" outlineLevel="0" collapsed="false">
      <c r="B109" s="4" t="s">
        <v>105</v>
      </c>
      <c r="D109" s="10" t="n">
        <f aca="false">'Outsized 1.5x in 2030'!D58</f>
        <v>125</v>
      </c>
      <c r="E109" s="10" t="n">
        <f aca="false">'Outsized 1.5x in 2030'!E58</f>
        <v>128.75</v>
      </c>
      <c r="F109" s="10" t="n">
        <f aca="false">'Outsized 1.5x in 2030'!F58</f>
        <v>130</v>
      </c>
      <c r="G109" s="10" t="n">
        <f aca="false">'Outsized 1.5x in 2030'!G58</f>
        <v>156.25</v>
      </c>
      <c r="H109" s="10" t="n">
        <f aca="false">'Outsized 1.5x in 2030'!H58</f>
        <v>127.5</v>
      </c>
      <c r="I109" s="10" t="n">
        <f aca="false">'Outsized 1.5x in 2030'!I58</f>
        <v>126.25</v>
      </c>
      <c r="J109" s="10" t="n">
        <f aca="false">'Outsized 1.5x in 2030'!J58</f>
        <v>125</v>
      </c>
      <c r="K109" s="10" t="n">
        <f aca="false">'Outsized 1.5x in 2030'!K58</f>
        <v>125</v>
      </c>
      <c r="L109" s="10" t="n">
        <f aca="false">'Outsized 1.5x in 2030'!L58</f>
        <v>125</v>
      </c>
      <c r="M109" s="10" t="n">
        <f aca="false">'Outsized 1.5x in 2030'!M58</f>
        <v>883.75</v>
      </c>
    </row>
    <row r="110" customFormat="false" ht="15" hidden="false" customHeight="false" outlineLevel="0" collapsed="false">
      <c r="B110" s="4" t="s">
        <v>106</v>
      </c>
      <c r="D110" s="10" t="n">
        <f aca="false">'Outsized 1.5x in 2030'!Q58</f>
        <v>125</v>
      </c>
      <c r="E110" s="10" t="n">
        <f aca="false">'Outsized 1.5x in 2030'!R58</f>
        <v>125</v>
      </c>
      <c r="F110" s="10" t="n">
        <f aca="false">'Outsized 1.5x in 2030'!S58</f>
        <v>125</v>
      </c>
      <c r="G110" s="10" t="n">
        <f aca="false">'Outsized 1.5x in 2030'!T58</f>
        <v>150</v>
      </c>
      <c r="H110" s="10" t="n">
        <f aca="false">'Outsized 1.5x in 2030'!U58</f>
        <v>125</v>
      </c>
      <c r="I110" s="10" t="n">
        <f aca="false">'Outsized 1.5x in 2030'!V58</f>
        <v>125</v>
      </c>
      <c r="J110" s="10" t="n">
        <f aca="false">'Outsized 1.5x in 2030'!W58</f>
        <v>125</v>
      </c>
      <c r="K110" s="10" t="n">
        <f aca="false">'Outsized 1.5x in 2030'!X58</f>
        <v>125</v>
      </c>
      <c r="L110" s="10" t="n">
        <f aca="false">'Outsized 1.5x in 2030'!Y58</f>
        <v>125</v>
      </c>
      <c r="M110" s="10" t="n">
        <f aca="false">'Outsized 1.5x in 2030'!Z58</f>
        <v>887.5</v>
      </c>
    </row>
    <row r="111" customFormat="false" ht="15" hidden="false" customHeight="false" outlineLevel="0" collapsed="false">
      <c r="B111" s="4" t="s">
        <v>107</v>
      </c>
      <c r="D111" s="10" t="n">
        <f aca="false">'Outsized 1.5x in 2030'!D78</f>
        <v>125</v>
      </c>
      <c r="E111" s="10" t="n">
        <f aca="false">'Outsized 1.5x in 2030'!E78</f>
        <v>128.75</v>
      </c>
      <c r="F111" s="10" t="n">
        <f aca="false">'Outsized 1.5x in 2030'!F78</f>
        <v>130</v>
      </c>
      <c r="G111" s="10" t="n">
        <f aca="false">'Outsized 1.5x in 2030'!G78</f>
        <v>156.25</v>
      </c>
      <c r="H111" s="10" t="n">
        <f aca="false">'Outsized 1.5x in 2030'!H78</f>
        <v>127.5</v>
      </c>
      <c r="I111" s="10" t="n">
        <f aca="false">'Outsized 1.5x in 2030'!I78</f>
        <v>126.25</v>
      </c>
      <c r="J111" s="10" t="n">
        <f aca="false">'Outsized 1.5x in 2030'!J78</f>
        <v>125</v>
      </c>
      <c r="K111" s="10" t="n">
        <f aca="false">'Outsized 1.5x in 2030'!K78</f>
        <v>125</v>
      </c>
      <c r="L111" s="10" t="n">
        <f aca="false">'Outsized 1.5x in 2030'!L78</f>
        <v>125</v>
      </c>
      <c r="M111" s="10" t="n">
        <f aca="false">'Outsized 1.5x in 2030'!M78</f>
        <v>858.75</v>
      </c>
    </row>
    <row r="112" customFormat="false" ht="15" hidden="false" customHeight="false" outlineLevel="0" collapsed="false">
      <c r="B112" s="4" t="s">
        <v>108</v>
      </c>
      <c r="D112" s="10" t="n">
        <f aca="false">'Outsized 1.5x in 2030'!Q78</f>
        <v>125</v>
      </c>
      <c r="E112" s="10" t="n">
        <f aca="false">'Outsized 1.5x in 2030'!R78</f>
        <v>125</v>
      </c>
      <c r="F112" s="10" t="n">
        <f aca="false">'Outsized 1.5x in 2030'!S78</f>
        <v>125</v>
      </c>
      <c r="G112" s="10" t="n">
        <f aca="false">'Outsized 1.5x in 2030'!T78</f>
        <v>150</v>
      </c>
      <c r="H112" s="10" t="n">
        <f aca="false">'Outsized 1.5x in 2030'!U78</f>
        <v>125</v>
      </c>
      <c r="I112" s="10" t="n">
        <f aca="false">'Outsized 1.5x in 2030'!V78</f>
        <v>125</v>
      </c>
      <c r="J112" s="10" t="n">
        <f aca="false">'Outsized 1.5x in 2030'!W78</f>
        <v>125</v>
      </c>
      <c r="K112" s="10" t="n">
        <f aca="false">'Outsized 1.5x in 2030'!X78</f>
        <v>125</v>
      </c>
      <c r="L112" s="10" t="n">
        <f aca="false">'Outsized 1.5x in 2030'!Y78</f>
        <v>125</v>
      </c>
      <c r="M112" s="10" t="n">
        <f aca="false">'Outsized 1.5x in 2030'!Z78</f>
        <v>862.5</v>
      </c>
    </row>
    <row r="113" customFormat="false" ht="15" hidden="false" customHeight="false" outlineLevel="0" collapsed="false">
      <c r="B113" s="4" t="s">
        <v>109</v>
      </c>
      <c r="D113" s="10" t="n">
        <f aca="false">'Outsized 1.5x in 2030'!D98</f>
        <v>125</v>
      </c>
      <c r="E113" s="10" t="n">
        <f aca="false">'Outsized 1.5x in 2030'!E98</f>
        <v>128.75</v>
      </c>
      <c r="F113" s="10" t="n">
        <f aca="false">'Outsized 1.5x in 2030'!F98</f>
        <v>130</v>
      </c>
      <c r="G113" s="10" t="n">
        <f aca="false">'Outsized 1.5x in 2030'!G98</f>
        <v>156.25</v>
      </c>
      <c r="H113" s="10" t="n">
        <f aca="false">'Outsized 1.5x in 2030'!H98</f>
        <v>127.5</v>
      </c>
      <c r="I113" s="10" t="n">
        <f aca="false">'Outsized 1.5x in 2030'!I98</f>
        <v>126.25</v>
      </c>
      <c r="J113" s="10" t="n">
        <f aca="false">'Outsized 1.5x in 2030'!J98</f>
        <v>125</v>
      </c>
      <c r="K113" s="10" t="n">
        <f aca="false">'Outsized 1.5x in 2030'!K98</f>
        <v>125</v>
      </c>
      <c r="L113" s="10" t="n">
        <f aca="false">'Outsized 1.5x in 2030'!L98</f>
        <v>125</v>
      </c>
      <c r="M113" s="10" t="n">
        <f aca="false">'Outsized 1.5x in 2030'!M98</f>
        <v>833.75</v>
      </c>
    </row>
    <row r="114" customFormat="false" ht="15" hidden="false" customHeight="false" outlineLevel="0" collapsed="false">
      <c r="B114" s="4" t="s">
        <v>110</v>
      </c>
      <c r="D114" s="10" t="n">
        <f aca="false">'Outsized 1.5x in 2030'!Q97</f>
        <v>125</v>
      </c>
      <c r="E114" s="10" t="n">
        <f aca="false">'Outsized 1.5x in 2030'!R97</f>
        <v>125</v>
      </c>
      <c r="F114" s="10" t="n">
        <f aca="false">'Outsized 1.5x in 2030'!S97</f>
        <v>125</v>
      </c>
      <c r="G114" s="10" t="n">
        <f aca="false">'Outsized 1.5x in 2030'!T97</f>
        <v>150</v>
      </c>
      <c r="H114" s="10" t="n">
        <f aca="false">'Outsized 1.5x in 2030'!U97</f>
        <v>150</v>
      </c>
      <c r="I114" s="10" t="n">
        <f aca="false">'Outsized 1.5x in 2030'!V97</f>
        <v>137.5</v>
      </c>
      <c r="J114" s="10" t="n">
        <f aca="false">'Outsized 1.5x in 2030'!W97</f>
        <v>125</v>
      </c>
      <c r="K114" s="10" t="n">
        <f aca="false">'Outsized 1.5x in 2030'!X97</f>
        <v>125</v>
      </c>
      <c r="L114" s="10" t="n">
        <f aca="false">'Outsized 1.5x in 2030'!Y97</f>
        <v>125</v>
      </c>
      <c r="M114" s="10" t="n">
        <f aca="false">'Outsized 1.5x in 2030'!Z97</f>
        <v>875</v>
      </c>
    </row>
    <row r="115" customFormat="false" ht="15" hidden="false" customHeight="false" outlineLevel="0" collapsed="false">
      <c r="B115" s="4" t="s">
        <v>111</v>
      </c>
      <c r="D115" s="10" t="n">
        <f aca="false">'Outsized 1.5x in 2030'!D118</f>
        <v>125</v>
      </c>
      <c r="E115" s="10" t="n">
        <f aca="false">'Outsized 1.5x in 2030'!E118</f>
        <v>125</v>
      </c>
      <c r="F115" s="10" t="n">
        <f aca="false">'Outsized 1.5x in 2030'!F118</f>
        <v>125</v>
      </c>
      <c r="G115" s="10" t="n">
        <f aca="false">'Outsized 1.5x in 2030'!G118</f>
        <v>175</v>
      </c>
      <c r="H115" s="10" t="n">
        <f aca="false">'Outsized 1.5x in 2030'!H118</f>
        <v>132.5</v>
      </c>
      <c r="I115" s="10" t="n">
        <f aca="false">'Outsized 1.5x in 2030'!I118</f>
        <v>127.5</v>
      </c>
      <c r="J115" s="10" t="n">
        <f aca="false">'Outsized 1.5x in 2030'!J118</f>
        <v>127.5</v>
      </c>
      <c r="K115" s="10" t="n">
        <f aca="false">'Outsized 1.5x in 2030'!K118</f>
        <v>125</v>
      </c>
      <c r="L115" s="10" t="n">
        <f aca="false">'Outsized 1.5x in 2030'!L118</f>
        <v>125</v>
      </c>
      <c r="M115" s="10" t="n">
        <f aca="false">'Outsized 1.5x in 2030'!M118</f>
        <v>1177.5</v>
      </c>
    </row>
    <row r="116" customFormat="false" ht="15" hidden="false" customHeight="false" outlineLevel="0" collapsed="false">
      <c r="B116" s="4" t="s">
        <v>112</v>
      </c>
      <c r="D116" s="10" t="n">
        <f aca="false">'Outsized 1.5x in 2030'!Q117</f>
        <v>125</v>
      </c>
      <c r="E116" s="10" t="n">
        <f aca="false">'Outsized 1.5x in 2030'!R117</f>
        <v>125</v>
      </c>
      <c r="F116" s="10" t="n">
        <f aca="false">'Outsized 1.5x in 2030'!S117</f>
        <v>125</v>
      </c>
      <c r="G116" s="10" t="n">
        <f aca="false">'Outsized 1.5x in 2030'!T117</f>
        <v>150</v>
      </c>
      <c r="H116" s="10" t="n">
        <f aca="false">'Outsized 1.5x in 2030'!U117</f>
        <v>150</v>
      </c>
      <c r="I116" s="10" t="n">
        <f aca="false">'Outsized 1.5x in 2030'!V117</f>
        <v>125</v>
      </c>
      <c r="J116" s="10" t="n">
        <f aca="false">'Outsized 1.5x in 2030'!W117</f>
        <v>125</v>
      </c>
      <c r="K116" s="10" t="n">
        <f aca="false">'Outsized 1.5x in 2030'!X117</f>
        <v>125</v>
      </c>
      <c r="L116" s="10" t="n">
        <f aca="false">'Outsized 1.5x in 2030'!Y117</f>
        <v>125</v>
      </c>
      <c r="M116" s="10" t="n">
        <f aca="false">'Outsized 1.5x in 2030'!Z117</f>
        <v>1187.5</v>
      </c>
    </row>
    <row r="117" customFormat="false" ht="15" hidden="false" customHeight="false" outlineLevel="0" collapsed="false">
      <c r="B117" s="4" t="s">
        <v>113</v>
      </c>
      <c r="D117" s="10" t="n">
        <f aca="false">'Outsized 1.5x in 2030'!D138</f>
        <v>125</v>
      </c>
      <c r="E117" s="10" t="n">
        <f aca="false">'Outsized 1.5x in 2030'!E138</f>
        <v>125</v>
      </c>
      <c r="F117" s="10" t="n">
        <f aca="false">'Outsized 1.5x in 2030'!F138</f>
        <v>125</v>
      </c>
      <c r="G117" s="10" t="n">
        <f aca="false">'Outsized 1.5x in 2030'!G138</f>
        <v>175</v>
      </c>
      <c r="H117" s="10" t="n">
        <f aca="false">'Outsized 1.5x in 2030'!H138</f>
        <v>132.5</v>
      </c>
      <c r="I117" s="10" t="n">
        <f aca="false">'Outsized 1.5x in 2030'!I138</f>
        <v>127.5</v>
      </c>
      <c r="J117" s="10" t="n">
        <f aca="false">'Outsized 1.5x in 2030'!J138</f>
        <v>127.5</v>
      </c>
      <c r="K117" s="10" t="n">
        <f aca="false">'Outsized 1.5x in 2030'!K138</f>
        <v>125</v>
      </c>
      <c r="L117" s="10" t="n">
        <f aca="false">'Outsized 1.5x in 2030'!L138</f>
        <v>125</v>
      </c>
      <c r="M117" s="10" t="n">
        <f aca="false">'Outsized 1.5x in 2030'!M138</f>
        <v>1152.5</v>
      </c>
    </row>
    <row r="118" customFormat="false" ht="15" hidden="false" customHeight="false" outlineLevel="0" collapsed="false">
      <c r="B118" s="4" t="s">
        <v>114</v>
      </c>
      <c r="D118" s="10" t="n">
        <f aca="false">'Outsized 1.5x in 2030'!Q137</f>
        <v>125</v>
      </c>
      <c r="E118" s="10" t="n">
        <f aca="false">'Outsized 1.5x in 2030'!R137</f>
        <v>125</v>
      </c>
      <c r="F118" s="10" t="n">
        <f aca="false">'Outsized 1.5x in 2030'!S137</f>
        <v>125</v>
      </c>
      <c r="G118" s="10" t="n">
        <f aca="false">'Outsized 1.5x in 2030'!T137</f>
        <v>150</v>
      </c>
      <c r="H118" s="10" t="n">
        <f aca="false">'Outsized 1.5x in 2030'!U137</f>
        <v>150</v>
      </c>
      <c r="I118" s="10" t="n">
        <f aca="false">'Outsized 1.5x in 2030'!V137</f>
        <v>125</v>
      </c>
      <c r="J118" s="10" t="n">
        <f aca="false">'Outsized 1.5x in 2030'!W137</f>
        <v>125</v>
      </c>
      <c r="K118" s="10" t="n">
        <f aca="false">'Outsized 1.5x in 2030'!X137</f>
        <v>125</v>
      </c>
      <c r="L118" s="10" t="n">
        <f aca="false">'Outsized 1.5x in 2030'!Y137</f>
        <v>125</v>
      </c>
      <c r="M118" s="10" t="n">
        <f aca="false">'Outsized 1.5x in 2030'!Z137</f>
        <v>1162.5</v>
      </c>
    </row>
    <row r="119" customFormat="false" ht="15" hidden="false" customHeight="false" outlineLevel="0" collapsed="false">
      <c r="B119" s="4" t="s">
        <v>115</v>
      </c>
      <c r="D119" s="10" t="n">
        <f aca="false">'Outsized 1.5x in 2030'!D158</f>
        <v>175</v>
      </c>
      <c r="E119" s="10" t="n">
        <f aca="false">'Outsized 1.5x in 2030'!E158</f>
        <v>153.75</v>
      </c>
      <c r="F119" s="10" t="n">
        <f aca="false">'Outsized 1.5x in 2030'!F158</f>
        <v>126.25</v>
      </c>
      <c r="G119" s="10" t="n">
        <f aca="false">'Outsized 1.5x in 2030'!G158</f>
        <v>176.25</v>
      </c>
      <c r="H119" s="10" t="n">
        <f aca="false">'Outsized 1.5x in 2030'!H158</f>
        <v>132.5</v>
      </c>
      <c r="I119" s="10" t="n">
        <f aca="false">'Outsized 1.5x in 2030'!I158</f>
        <v>127.5</v>
      </c>
      <c r="J119" s="10" t="n">
        <f aca="false">'Outsized 1.5x in 2030'!J158</f>
        <v>127.5</v>
      </c>
      <c r="K119" s="10" t="n">
        <f aca="false">'Outsized 1.5x in 2030'!K158</f>
        <v>125</v>
      </c>
      <c r="L119" s="10" t="n">
        <f aca="false">'Outsized 1.5x in 2030'!L158</f>
        <v>125</v>
      </c>
      <c r="M119" s="10" t="n">
        <f aca="false">'Outsized 1.5x in 2030'!M158</f>
        <v>1033.75</v>
      </c>
    </row>
    <row r="120" customFormat="false" ht="15" hidden="false" customHeight="false" outlineLevel="0" collapsed="false">
      <c r="B120" s="4" t="s">
        <v>116</v>
      </c>
      <c r="D120" s="10" t="n">
        <f aca="false">'Outsized 1.5x in 2030'!Q157</f>
        <v>175</v>
      </c>
      <c r="E120" s="10" t="n">
        <f aca="false">'Outsized 1.5x in 2030'!R157</f>
        <v>150</v>
      </c>
      <c r="F120" s="10" t="n">
        <f aca="false">'Outsized 1.5x in 2030'!S157</f>
        <v>125</v>
      </c>
      <c r="G120" s="10" t="n">
        <f aca="false">'Outsized 1.5x in 2030'!T157</f>
        <v>150</v>
      </c>
      <c r="H120" s="10" t="n">
        <f aca="false">'Outsized 1.5x in 2030'!U157</f>
        <v>150</v>
      </c>
      <c r="I120" s="10" t="n">
        <f aca="false">'Outsized 1.5x in 2030'!V157</f>
        <v>125</v>
      </c>
      <c r="J120" s="10" t="n">
        <f aca="false">'Outsized 1.5x in 2030'!W157</f>
        <v>125</v>
      </c>
      <c r="K120" s="10" t="n">
        <f aca="false">'Outsized 1.5x in 2030'!X157</f>
        <v>125</v>
      </c>
      <c r="L120" s="10" t="n">
        <f aca="false">'Outsized 1.5x in 2030'!Y157</f>
        <v>125</v>
      </c>
      <c r="M120" s="10" t="n">
        <f aca="false">'Outsized 1.5x in 2030'!Z157</f>
        <v>1037.5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1"/>
    <col collapsed="false" customWidth="true" hidden="false" outlineLevel="0" max="9" min="9" style="0" width="58"/>
  </cols>
  <sheetData>
    <row r="2" customFormat="false" ht="17.35" hidden="false" customHeight="false" outlineLevel="0" collapsed="false">
      <c r="B2" s="1" t="s">
        <v>120</v>
      </c>
    </row>
    <row r="3" customFormat="false" ht="15" hidden="false" customHeight="false" outlineLevel="0" collapsed="false">
      <c r="B3" s="2" t="s">
        <v>121</v>
      </c>
    </row>
    <row r="5" customFormat="false" ht="15" hidden="false" customHeight="false" outlineLevel="0" collapsed="false">
      <c r="B5" s="3" t="s">
        <v>122</v>
      </c>
      <c r="C5" s="17" t="n">
        <v>100</v>
      </c>
      <c r="I5" s="2" t="s">
        <v>123</v>
      </c>
    </row>
    <row r="6" customFormat="false" ht="15" hidden="false" customHeight="false" outlineLevel="0" collapsed="false">
      <c r="B6" s="3" t="s">
        <v>124</v>
      </c>
      <c r="C6" s="18" t="n">
        <v>1.25</v>
      </c>
      <c r="I6" s="2" t="s">
        <v>125</v>
      </c>
    </row>
    <row r="7" customFormat="false" ht="15" hidden="false" customHeight="false" outlineLevel="0" collapsed="false">
      <c r="B7" s="3" t="s">
        <v>126</v>
      </c>
      <c r="C7" s="18" t="n">
        <v>1.5</v>
      </c>
      <c r="I7" s="2" t="s">
        <v>127</v>
      </c>
    </row>
    <row r="8" customFormat="false" ht="15" hidden="false" customHeight="false" outlineLevel="0" collapsed="false">
      <c r="B8" s="3" t="s">
        <v>128</v>
      </c>
      <c r="C8" s="18" t="n">
        <v>2</v>
      </c>
      <c r="I8" s="2" t="s">
        <v>129</v>
      </c>
    </row>
    <row r="9" customFormat="false" ht="15" hidden="false" customHeight="false" outlineLevel="0" collapsed="false">
      <c r="B9" s="3" t="s">
        <v>130</v>
      </c>
      <c r="C9" s="18" t="n">
        <v>1.15</v>
      </c>
      <c r="I9" s="2" t="s">
        <v>131</v>
      </c>
    </row>
    <row r="10" customFormat="false" ht="15" hidden="false" customHeight="false" outlineLevel="0" collapsed="false">
      <c r="B10" s="3" t="s">
        <v>132</v>
      </c>
      <c r="C10" s="17" t="n">
        <v>230</v>
      </c>
      <c r="I10" s="2" t="s">
        <v>133</v>
      </c>
    </row>
    <row r="11" customFormat="false" ht="15" hidden="false" customHeight="false" outlineLevel="0" collapsed="false">
      <c r="B11" s="3" t="s">
        <v>134</v>
      </c>
      <c r="C11" s="18" t="n">
        <v>0.5</v>
      </c>
      <c r="I11" s="2" t="s">
        <v>135</v>
      </c>
    </row>
    <row r="12" customFormat="false" ht="15" hidden="false" customHeight="false" outlineLevel="0" collapsed="false">
      <c r="B12" s="3" t="s">
        <v>136</v>
      </c>
      <c r="C12" s="18" t="n">
        <v>0.25</v>
      </c>
      <c r="I12" s="2" t="s">
        <v>137</v>
      </c>
    </row>
    <row r="13" customFormat="false" ht="15" hidden="false" customHeight="false" outlineLevel="0" collapsed="false">
      <c r="B13" s="3" t="s">
        <v>138</v>
      </c>
      <c r="C13" s="19" t="n">
        <v>1</v>
      </c>
      <c r="I13" s="2" t="s">
        <v>139</v>
      </c>
    </row>
    <row r="16" customFormat="false" ht="15" hidden="false" customHeight="false" outlineLevel="0" collapsed="false">
      <c r="B16" s="3" t="s">
        <v>140</v>
      </c>
      <c r="C16" s="3" t="s">
        <v>141</v>
      </c>
      <c r="D16" s="3" t="s">
        <v>142</v>
      </c>
      <c r="E16" s="3" t="s">
        <v>143</v>
      </c>
      <c r="F16" s="3" t="s">
        <v>144</v>
      </c>
      <c r="G16" s="3" t="s">
        <v>145</v>
      </c>
    </row>
    <row r="17" customFormat="false" ht="15" hidden="false" customHeight="false" outlineLevel="0" collapsed="false">
      <c r="B17" s="4" t="s">
        <v>146</v>
      </c>
      <c r="C17" s="20" t="n">
        <v>1</v>
      </c>
      <c r="D17" s="20" t="n">
        <v>0.15</v>
      </c>
      <c r="E17" s="20" t="n">
        <v>0.05</v>
      </c>
      <c r="F17" s="20" t="n">
        <v>0.05</v>
      </c>
      <c r="G17" s="21" t="n">
        <v>1.25</v>
      </c>
      <c r="I17" s="2" t="s">
        <v>147</v>
      </c>
    </row>
    <row r="18" customFormat="false" ht="15" hidden="false" customHeight="false" outlineLevel="0" collapsed="false">
      <c r="B18" s="4" t="s">
        <v>148</v>
      </c>
      <c r="C18" s="20" t="n">
        <v>1</v>
      </c>
      <c r="D18" s="20" t="n">
        <v>1</v>
      </c>
      <c r="E18" s="20" t="n">
        <v>0</v>
      </c>
      <c r="F18" s="20" t="n">
        <v>0</v>
      </c>
      <c r="G18" s="21" t="n">
        <v>2</v>
      </c>
      <c r="I18" s="2" t="s">
        <v>149</v>
      </c>
    </row>
    <row r="19" customFormat="false" ht="15" hidden="false" customHeight="false" outlineLevel="0" collapsed="false">
      <c r="B19" s="4" t="s">
        <v>150</v>
      </c>
      <c r="C19" s="20" t="n">
        <v>1</v>
      </c>
      <c r="D19" s="20" t="n">
        <v>0.5</v>
      </c>
      <c r="E19" s="20" t="n">
        <v>0</v>
      </c>
      <c r="F19" s="20" t="n">
        <v>0</v>
      </c>
      <c r="G19" s="21" t="n">
        <v>1.5</v>
      </c>
      <c r="I19" s="2" t="s">
        <v>151</v>
      </c>
    </row>
    <row r="20" customFormat="false" ht="15" hidden="false" customHeight="false" outlineLevel="0" collapsed="false">
      <c r="B20" s="4" t="s">
        <v>152</v>
      </c>
      <c r="C20" s="20" t="n">
        <v>0</v>
      </c>
      <c r="D20" s="20" t="n">
        <v>1</v>
      </c>
      <c r="E20" s="20" t="n">
        <v>0.5</v>
      </c>
      <c r="F20" s="20" t="n">
        <v>0</v>
      </c>
      <c r="G20" s="21" t="n">
        <v>1.5</v>
      </c>
      <c r="I20" s="2" t="s">
        <v>153</v>
      </c>
    </row>
    <row r="21" customFormat="false" ht="15" hidden="false" customHeight="false" outlineLevel="0" collapsed="false">
      <c r="B21" s="4" t="s">
        <v>154</v>
      </c>
      <c r="C21" s="20" t="n">
        <v>1</v>
      </c>
      <c r="D21" s="20" t="n">
        <v>0</v>
      </c>
      <c r="E21" s="20" t="n">
        <v>0</v>
      </c>
      <c r="F21" s="20" t="n">
        <v>0</v>
      </c>
      <c r="G21" s="21" t="n">
        <v>1</v>
      </c>
      <c r="I21" s="2" t="s">
        <v>155</v>
      </c>
    </row>
    <row r="22" customFormat="false" ht="15" hidden="false" customHeight="false" outlineLevel="0" collapsed="false">
      <c r="B22" s="4" t="s">
        <v>156</v>
      </c>
      <c r="C22" s="20" t="n">
        <v>0</v>
      </c>
      <c r="D22" s="20" t="n">
        <v>0.25</v>
      </c>
      <c r="E22" s="20" t="n">
        <v>0.1</v>
      </c>
      <c r="F22" s="20" t="n">
        <v>0.05</v>
      </c>
      <c r="G22" s="21" t="n">
        <v>0.4</v>
      </c>
      <c r="I22" s="2" t="s">
        <v>157</v>
      </c>
    </row>
    <row r="23" customFormat="false" ht="15" hidden="false" customHeight="false" outlineLevel="0" collapsed="false">
      <c r="B23" s="4" t="s">
        <v>158</v>
      </c>
      <c r="C23" s="22" t="n">
        <v>1</v>
      </c>
      <c r="D23" s="23" t="n">
        <f aca="false">IF(Assumptions!$C$13=1,0.15,0)</f>
        <v>0.15</v>
      </c>
      <c r="E23" s="23" t="n">
        <f aca="false">IF(Assumptions!$C$13=1,0.05,0)</f>
        <v>0.05</v>
      </c>
      <c r="F23" s="23" t="n">
        <f aca="false">IF(Assumptions!$C$13=1,0.05,0)</f>
        <v>0.05</v>
      </c>
      <c r="G23" s="21" t="n">
        <f aca="false">IF(Assumptions!$C$13=1,1.25,1)</f>
        <v>1.25</v>
      </c>
      <c r="I23" s="2" t="s">
        <v>159</v>
      </c>
    </row>
    <row r="25" customFormat="false" ht="15" hidden="false" customHeight="false" outlineLevel="0" collapsed="false">
      <c r="B25" s="3" t="s">
        <v>160</v>
      </c>
    </row>
    <row r="26" customFormat="false" ht="15" hidden="false" customHeight="false" outlineLevel="0" collapsed="false">
      <c r="B26" s="4" t="s">
        <v>161</v>
      </c>
      <c r="C26" s="24" t="n">
        <v>2027</v>
      </c>
      <c r="I26" s="2" t="s">
        <v>162</v>
      </c>
    </row>
    <row r="27" customFormat="false" ht="15" hidden="false" customHeight="false" outlineLevel="0" collapsed="false">
      <c r="B27" s="4" t="s">
        <v>163</v>
      </c>
      <c r="C27" s="24" t="n">
        <v>2030</v>
      </c>
      <c r="I27" s="2" t="s">
        <v>164</v>
      </c>
    </row>
    <row r="28" customFormat="false" ht="15" hidden="false" customHeight="false" outlineLevel="0" collapsed="false">
      <c r="B28" s="4" t="s">
        <v>165</v>
      </c>
      <c r="C28" s="24" t="n">
        <v>2030</v>
      </c>
      <c r="I28" s="2" t="s">
        <v>166</v>
      </c>
    </row>
    <row r="29" customFormat="false" ht="15" hidden="false" customHeight="false" outlineLevel="0" collapsed="false">
      <c r="B29" s="4" t="s">
        <v>167</v>
      </c>
      <c r="C29" s="24" t="n">
        <v>2030</v>
      </c>
      <c r="I29" s="2" t="s">
        <v>168</v>
      </c>
    </row>
    <row r="30" customFormat="false" ht="15" hidden="false" customHeight="false" outlineLevel="0" collapsed="false">
      <c r="B30" s="4" t="s">
        <v>169</v>
      </c>
      <c r="C30" s="24" t="n">
        <v>2030</v>
      </c>
      <c r="I30" s="2" t="s">
        <v>170</v>
      </c>
    </row>
    <row r="31" customFormat="false" ht="15" hidden="false" customHeight="false" outlineLevel="0" collapsed="false">
      <c r="B31" s="4" t="s">
        <v>171</v>
      </c>
      <c r="C31" s="24" t="n">
        <v>2027</v>
      </c>
      <c r="I31" s="2" t="s">
        <v>172</v>
      </c>
    </row>
    <row r="32" customFormat="false" ht="15" hidden="false" customHeight="false" outlineLevel="0" collapsed="false">
      <c r="B32" s="4" t="s">
        <v>173</v>
      </c>
      <c r="C32" s="24" t="n">
        <v>2027</v>
      </c>
      <c r="I32" s="2" t="s">
        <v>174</v>
      </c>
    </row>
    <row r="33" customFormat="false" ht="15" hidden="false" customHeight="false" outlineLevel="0" collapsed="false">
      <c r="B33" s="4" t="s">
        <v>175</v>
      </c>
      <c r="C33" s="24" t="n">
        <v>2028</v>
      </c>
      <c r="I33" s="2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2" min="3" style="0" width="8"/>
    <col collapsed="false" customWidth="true" hidden="false" outlineLevel="0" max="13" min="13" style="0" width="8.5"/>
    <col collapsed="false" customWidth="true" hidden="false" outlineLevel="0" max="14" min="14" style="0" width="2"/>
    <col collapsed="false" customWidth="true" hidden="false" outlineLevel="0" max="15" min="15" style="0" width="34"/>
    <col collapsed="false" customWidth="true" hidden="false" outlineLevel="0" max="25" min="16" style="0" width="8"/>
    <col collapsed="false" customWidth="true" hidden="false" outlineLevel="0" max="26" min="26" style="0" width="8.5"/>
  </cols>
  <sheetData>
    <row r="2" customFormat="false" ht="17.35" hidden="false" customHeight="false" outlineLevel="0" collapsed="false">
      <c r="B2" s="1" t="s">
        <v>177</v>
      </c>
    </row>
    <row r="3" customFormat="false" ht="15" hidden="false" customHeight="false" outlineLevel="0" collapsed="false">
      <c r="B3" s="2" t="s">
        <v>178</v>
      </c>
    </row>
    <row r="5" customFormat="false" ht="15" hidden="false" customHeight="false" outlineLevel="0" collapsed="false">
      <c r="B5" s="3" t="s">
        <v>179</v>
      </c>
    </row>
    <row r="6" customFormat="false" ht="15" hidden="false" customHeight="false" outlineLevel="0" collapsed="false">
      <c r="B6" s="5" t="s">
        <v>180</v>
      </c>
      <c r="C6" s="7" t="s">
        <v>181</v>
      </c>
      <c r="D6" s="7" t="s">
        <v>91</v>
      </c>
      <c r="E6" s="7" t="s">
        <v>92</v>
      </c>
      <c r="F6" s="7" t="s">
        <v>93</v>
      </c>
      <c r="G6" s="7" t="s">
        <v>94</v>
      </c>
      <c r="H6" s="7" t="s">
        <v>95</v>
      </c>
      <c r="I6" s="7" t="s">
        <v>96</v>
      </c>
      <c r="J6" s="7" t="s">
        <v>97</v>
      </c>
      <c r="K6" s="7" t="s">
        <v>98</v>
      </c>
      <c r="L6" s="7" t="s">
        <v>99</v>
      </c>
      <c r="M6" s="7" t="s">
        <v>100</v>
      </c>
      <c r="O6" s="25" t="s">
        <v>182</v>
      </c>
      <c r="P6" s="26" t="s">
        <v>181</v>
      </c>
      <c r="Q6" s="26" t="s">
        <v>91</v>
      </c>
      <c r="R6" s="26" t="s">
        <v>92</v>
      </c>
      <c r="S6" s="26" t="s">
        <v>93</v>
      </c>
      <c r="T6" s="26" t="s">
        <v>94</v>
      </c>
      <c r="U6" s="26" t="s">
        <v>95</v>
      </c>
      <c r="V6" s="26" t="s">
        <v>96</v>
      </c>
      <c r="W6" s="26" t="s">
        <v>97</v>
      </c>
      <c r="X6" s="26" t="s">
        <v>98</v>
      </c>
      <c r="Y6" s="26" t="s">
        <v>99</v>
      </c>
      <c r="Z6" s="26" t="s">
        <v>100</v>
      </c>
    </row>
    <row r="7" customFormat="false" ht="15" hidden="false" customHeight="false" outlineLevel="0" collapsed="false">
      <c r="B7" s="2" t="s">
        <v>183</v>
      </c>
      <c r="D7" s="27" t="n">
        <f aca="false">Assumptions!$C$5*Assumptions!$C$6</f>
        <v>125</v>
      </c>
      <c r="E7" s="28" t="n">
        <f aca="false">Assumptions!$C$5*Assumptions!$C$6</f>
        <v>125</v>
      </c>
      <c r="F7" s="28" t="n">
        <f aca="false">Assumptions!$C$5*Assumptions!$C$6</f>
        <v>125</v>
      </c>
      <c r="G7" s="28" t="n">
        <f aca="false">Assumptions!$C$5*Assumptions!$C$6</f>
        <v>125</v>
      </c>
      <c r="H7" s="28" t="n">
        <f aca="false">Assumptions!$C$5*Assumptions!$C$6</f>
        <v>125</v>
      </c>
      <c r="I7" s="28" t="n">
        <f aca="false">Assumptions!$C$5*Assumptions!$C$6</f>
        <v>125</v>
      </c>
      <c r="J7" s="28" t="n">
        <f aca="false">Assumptions!$C$5*Assumptions!$C$6</f>
        <v>125</v>
      </c>
      <c r="K7" s="28" t="n">
        <f aca="false">Assumptions!$C$5*Assumptions!$C$6</f>
        <v>125</v>
      </c>
      <c r="L7" s="28" t="n">
        <f aca="false">Assumptions!$C$5*Assumptions!$C$6</f>
        <v>125</v>
      </c>
      <c r="O7" s="2" t="s">
        <v>183</v>
      </c>
      <c r="Q7" s="27" t="n">
        <f aca="false">Assumptions!$C$5*Assumptions!$C$6</f>
        <v>125</v>
      </c>
      <c r="R7" s="28" t="n">
        <f aca="false">Assumptions!$C$5*Assumptions!$C$6</f>
        <v>125</v>
      </c>
      <c r="S7" s="28" t="n">
        <f aca="false">Assumptions!$C$5*Assumptions!$C$6</f>
        <v>125</v>
      </c>
      <c r="T7" s="28" t="n">
        <f aca="false">Assumptions!$C$5*Assumptions!$C$6</f>
        <v>125</v>
      </c>
      <c r="U7" s="28" t="n">
        <f aca="false">Assumptions!$C$5*Assumptions!$C$6</f>
        <v>125</v>
      </c>
      <c r="V7" s="28" t="n">
        <f aca="false">Assumptions!$C$5*Assumptions!$C$6</f>
        <v>125</v>
      </c>
      <c r="W7" s="28" t="n">
        <f aca="false">Assumptions!$C$5*Assumptions!$C$6</f>
        <v>125</v>
      </c>
      <c r="X7" s="28" t="n">
        <f aca="false">Assumptions!$C$5*Assumptions!$C$6</f>
        <v>125</v>
      </c>
      <c r="Y7" s="28" t="n">
        <f aca="false">Assumptions!$C$5*Assumptions!$C$6</f>
        <v>125</v>
      </c>
    </row>
    <row r="8" customFormat="false" ht="15" hidden="false" customHeight="false" outlineLevel="0" collapsed="false">
      <c r="B8" s="4" t="s">
        <v>184</v>
      </c>
      <c r="D8" s="29" t="n">
        <v>0</v>
      </c>
      <c r="E8" s="30" t="n">
        <v>0</v>
      </c>
      <c r="F8" s="30" t="n">
        <v>0</v>
      </c>
      <c r="G8" s="30" t="n">
        <v>0</v>
      </c>
      <c r="H8" s="30" t="n">
        <v>0</v>
      </c>
      <c r="I8" s="30" t="n">
        <v>0</v>
      </c>
      <c r="J8" s="30" t="n">
        <v>0</v>
      </c>
      <c r="K8" s="30" t="n">
        <v>0</v>
      </c>
      <c r="L8" s="30" t="n">
        <v>0</v>
      </c>
      <c r="O8" s="4" t="s">
        <v>184</v>
      </c>
      <c r="Q8" s="29" t="n">
        <v>0</v>
      </c>
      <c r="R8" s="30" t="n">
        <v>0</v>
      </c>
      <c r="S8" s="30" t="n">
        <v>0</v>
      </c>
      <c r="T8" s="30" t="n">
        <v>0</v>
      </c>
      <c r="U8" s="30" t="n">
        <v>0</v>
      </c>
      <c r="V8" s="30" t="n">
        <v>0</v>
      </c>
      <c r="W8" s="30" t="n">
        <v>0</v>
      </c>
      <c r="X8" s="30" t="n">
        <v>0</v>
      </c>
      <c r="Y8" s="30" t="n">
        <v>0</v>
      </c>
    </row>
    <row r="9" customFormat="false" ht="15" hidden="false" customHeight="false" outlineLevel="0" collapsed="false">
      <c r="B9" s="4" t="s">
        <v>185</v>
      </c>
      <c r="C9" s="31" t="n">
        <f aca="false">Assumptions!$C$5</f>
        <v>100</v>
      </c>
      <c r="D9" s="32" t="n">
        <f aca="false">$C9*Assumptions!$C$17</f>
        <v>100</v>
      </c>
      <c r="E9" s="33" t="n">
        <f aca="false">$C9*Assumptions!$D$17</f>
        <v>15</v>
      </c>
      <c r="F9" s="33" t="n">
        <f aca="false">$C9*Assumptions!$E$17</f>
        <v>5</v>
      </c>
      <c r="G9" s="33" t="n">
        <f aca="false">$C9*Assumptions!$F$17</f>
        <v>5</v>
      </c>
      <c r="M9" s="33" t="n">
        <f aca="false">$C9*Assumptions!$G$17</f>
        <v>125</v>
      </c>
      <c r="O9" s="4" t="s">
        <v>186</v>
      </c>
      <c r="P9" s="31" t="n">
        <f aca="false">Assumptions!$C$5*Assumptions!$C$9</f>
        <v>115</v>
      </c>
      <c r="Q9" s="32" t="n">
        <f aca="false">$P9*Assumptions!$C$19</f>
        <v>115</v>
      </c>
      <c r="R9" s="33" t="n">
        <f aca="false">$P9*Assumptions!$D$19</f>
        <v>57.5</v>
      </c>
      <c r="S9" s="33" t="n">
        <f aca="false">$P9*Assumptions!$E$19</f>
        <v>0</v>
      </c>
      <c r="T9" s="33" t="n">
        <f aca="false">$P9*Assumptions!$F$19</f>
        <v>0</v>
      </c>
      <c r="Z9" s="33" t="n">
        <f aca="false">$P9*Assumptions!$G$19</f>
        <v>172.5</v>
      </c>
    </row>
    <row r="10" customFormat="false" ht="15" hidden="false" customHeight="false" outlineLevel="0" collapsed="false">
      <c r="B10" s="4" t="s">
        <v>187</v>
      </c>
      <c r="C10" s="31" t="n">
        <f aca="false">Assumptions!$C$5</f>
        <v>100</v>
      </c>
      <c r="D10" s="34"/>
      <c r="E10" s="33" t="n">
        <f aca="false">$C10*Assumptions!$C$17</f>
        <v>100</v>
      </c>
      <c r="F10" s="33" t="n">
        <f aca="false">$C10*Assumptions!$D$17</f>
        <v>15</v>
      </c>
      <c r="G10" s="33" t="n">
        <f aca="false">$C10*Assumptions!$E$17</f>
        <v>5</v>
      </c>
      <c r="H10" s="33" t="n">
        <f aca="false">$C10*Assumptions!$F$17</f>
        <v>5</v>
      </c>
      <c r="M10" s="33" t="n">
        <f aca="false">$C10*Assumptions!$G$17</f>
        <v>125</v>
      </c>
      <c r="O10" s="4" t="s">
        <v>188</v>
      </c>
      <c r="P10" s="31" t="n">
        <f aca="false">Assumptions!$C$11*Assumptions!$C$5*Assumptions!$C$9</f>
        <v>57.5</v>
      </c>
      <c r="Q10" s="34"/>
      <c r="R10" s="33" t="n">
        <f aca="false">$P10*Assumptions!$C$18</f>
        <v>57.5</v>
      </c>
      <c r="S10" s="33" t="n">
        <f aca="false">$P10*Assumptions!$D$18</f>
        <v>57.5</v>
      </c>
      <c r="T10" s="33" t="n">
        <f aca="false">$P10*Assumptions!$E$18</f>
        <v>0</v>
      </c>
      <c r="U10" s="33" t="n">
        <f aca="false">$P10*Assumptions!$F$18</f>
        <v>0</v>
      </c>
      <c r="Z10" s="33" t="n">
        <f aca="false">$P10*Assumptions!$G$18</f>
        <v>115</v>
      </c>
    </row>
    <row r="11" customFormat="false" ht="15" hidden="false" customHeight="false" outlineLevel="0" collapsed="false">
      <c r="B11" s="4" t="s">
        <v>189</v>
      </c>
      <c r="C11" s="31" t="n">
        <f aca="false">Assumptions!$C$5</f>
        <v>100</v>
      </c>
      <c r="D11" s="34"/>
      <c r="F11" s="33" t="n">
        <f aca="false">$C11*Assumptions!$C$17</f>
        <v>100</v>
      </c>
      <c r="G11" s="33" t="n">
        <f aca="false">$C11*Assumptions!$D$17</f>
        <v>15</v>
      </c>
      <c r="H11" s="33" t="n">
        <f aca="false">$C11*Assumptions!$E$17</f>
        <v>5</v>
      </c>
      <c r="I11" s="33" t="n">
        <f aca="false">$C11*Assumptions!$F$17</f>
        <v>5</v>
      </c>
      <c r="M11" s="33" t="n">
        <f aca="false">$C11*Assumptions!$G$17</f>
        <v>125</v>
      </c>
      <c r="O11" s="4" t="s">
        <v>190</v>
      </c>
      <c r="P11" s="31" t="n">
        <f aca="false">Assumptions!$C$11*Assumptions!$C$5*Assumptions!$C$9</f>
        <v>57.5</v>
      </c>
      <c r="Q11" s="34"/>
      <c r="S11" s="33" t="n">
        <f aca="false">$P11*Assumptions!$C$18</f>
        <v>57.5</v>
      </c>
      <c r="T11" s="33" t="n">
        <f aca="false">$P11*Assumptions!$D$18</f>
        <v>57.5</v>
      </c>
      <c r="U11" s="33" t="n">
        <f aca="false">$P11*Assumptions!$E$18</f>
        <v>0</v>
      </c>
      <c r="V11" s="33" t="n">
        <f aca="false">$P11*Assumptions!$F$18</f>
        <v>0</v>
      </c>
      <c r="Z11" s="33" t="n">
        <f aca="false">$P11*Assumptions!$G$18</f>
        <v>115</v>
      </c>
    </row>
    <row r="12" customFormat="false" ht="15" hidden="false" customHeight="false" outlineLevel="0" collapsed="false">
      <c r="B12" s="4" t="s">
        <v>191</v>
      </c>
      <c r="C12" s="31" t="n">
        <f aca="false">Assumptions!$C$5</f>
        <v>100</v>
      </c>
      <c r="D12" s="34"/>
      <c r="G12" s="33" t="n">
        <f aca="false">$C12*Assumptions!$C$17</f>
        <v>100</v>
      </c>
      <c r="H12" s="33" t="n">
        <f aca="false">$C12*Assumptions!$D$17</f>
        <v>15</v>
      </c>
      <c r="I12" s="33" t="n">
        <f aca="false">$C12*Assumptions!$E$17</f>
        <v>5</v>
      </c>
      <c r="J12" s="33" t="n">
        <f aca="false">$C12*Assumptions!$F$17</f>
        <v>5</v>
      </c>
      <c r="M12" s="33" t="n">
        <f aca="false">$C12*Assumptions!$G$17</f>
        <v>125</v>
      </c>
      <c r="O12" s="4" t="s">
        <v>192</v>
      </c>
      <c r="P12" s="31" t="n">
        <f aca="false">Assumptions!$C$11*Assumptions!$C$5*Assumptions!$C$9</f>
        <v>57.5</v>
      </c>
      <c r="Q12" s="34"/>
      <c r="T12" s="33" t="n">
        <f aca="false">$P12*Assumptions!$C$18</f>
        <v>57.5</v>
      </c>
      <c r="U12" s="33" t="n">
        <f aca="false">$P12*Assumptions!$D$18</f>
        <v>57.5</v>
      </c>
      <c r="V12" s="33" t="n">
        <f aca="false">$P12*Assumptions!$E$18</f>
        <v>0</v>
      </c>
      <c r="W12" s="33" t="n">
        <f aca="false">$P12*Assumptions!$F$18</f>
        <v>0</v>
      </c>
      <c r="Z12" s="33" t="n">
        <f aca="false">$P12*Assumptions!$G$18</f>
        <v>115</v>
      </c>
    </row>
    <row r="13" customFormat="false" ht="15" hidden="false" customHeight="false" outlineLevel="0" collapsed="false">
      <c r="B13" s="4" t="s">
        <v>193</v>
      </c>
      <c r="C13" s="31" t="n">
        <f aca="false">Assumptions!$C$5</f>
        <v>100</v>
      </c>
      <c r="D13" s="34"/>
      <c r="H13" s="33" t="n">
        <f aca="false">$C13*Assumptions!$C$17</f>
        <v>100</v>
      </c>
      <c r="I13" s="33" t="n">
        <f aca="false">$C13*Assumptions!$D$17</f>
        <v>15</v>
      </c>
      <c r="J13" s="33" t="n">
        <f aca="false">$C13*Assumptions!$E$17</f>
        <v>5</v>
      </c>
      <c r="K13" s="33" t="n">
        <f aca="false">$C13*Assumptions!$F$17</f>
        <v>5</v>
      </c>
      <c r="M13" s="33" t="n">
        <f aca="false">$C13*Assumptions!$G$17</f>
        <v>125</v>
      </c>
      <c r="O13" s="4" t="s">
        <v>194</v>
      </c>
      <c r="P13" s="31" t="n">
        <f aca="false">Assumptions!$C$11*Assumptions!$C$5*Assumptions!$C$9</f>
        <v>57.5</v>
      </c>
      <c r="Q13" s="34"/>
      <c r="U13" s="33" t="n">
        <f aca="false">$P13*Assumptions!$C$18</f>
        <v>57.5</v>
      </c>
      <c r="V13" s="33" t="n">
        <f aca="false">$P13*Assumptions!$D$18</f>
        <v>57.5</v>
      </c>
      <c r="W13" s="33" t="n">
        <f aca="false">$P13*Assumptions!$E$18</f>
        <v>0</v>
      </c>
      <c r="X13" s="33" t="n">
        <f aca="false">$P13*Assumptions!$F$18</f>
        <v>0</v>
      </c>
      <c r="Z13" s="33" t="n">
        <f aca="false">$P13*Assumptions!$G$18</f>
        <v>115</v>
      </c>
    </row>
    <row r="14" customFormat="false" ht="15" hidden="false" customHeight="false" outlineLevel="0" collapsed="false">
      <c r="B14" s="4" t="s">
        <v>195</v>
      </c>
      <c r="C14" s="31" t="n">
        <f aca="false">Assumptions!$C$5</f>
        <v>100</v>
      </c>
      <c r="D14" s="34"/>
      <c r="I14" s="33" t="n">
        <f aca="false">$C14*Assumptions!$C$17</f>
        <v>100</v>
      </c>
      <c r="J14" s="33" t="n">
        <f aca="false">$C14*Assumptions!$D$17</f>
        <v>15</v>
      </c>
      <c r="K14" s="33" t="n">
        <f aca="false">$C14*Assumptions!$E$17</f>
        <v>5</v>
      </c>
      <c r="L14" s="33" t="n">
        <f aca="false">$C14*Assumptions!$F$17</f>
        <v>5</v>
      </c>
      <c r="M14" s="33" t="n">
        <f aca="false">$C14*Assumptions!$G$17</f>
        <v>125</v>
      </c>
      <c r="O14" s="4" t="s">
        <v>196</v>
      </c>
      <c r="P14" s="31" t="n">
        <f aca="false">Assumptions!$C$11*Assumptions!$C$5*Assumptions!$C$9</f>
        <v>57.5</v>
      </c>
      <c r="Q14" s="34"/>
      <c r="V14" s="33" t="n">
        <f aca="false">$P14*Assumptions!$C$18</f>
        <v>57.5</v>
      </c>
      <c r="W14" s="33" t="n">
        <f aca="false">$P14*Assumptions!$D$18</f>
        <v>57.5</v>
      </c>
      <c r="X14" s="33" t="n">
        <f aca="false">$P14*Assumptions!$E$18</f>
        <v>0</v>
      </c>
      <c r="Y14" s="33" t="n">
        <f aca="false">$P14*Assumptions!$F$18</f>
        <v>0</v>
      </c>
      <c r="Z14" s="33" t="n">
        <f aca="false">$P14*Assumptions!$G$18</f>
        <v>115</v>
      </c>
    </row>
    <row r="15" customFormat="false" ht="15" hidden="false" customHeight="false" outlineLevel="0" collapsed="false">
      <c r="B15" s="4" t="s">
        <v>197</v>
      </c>
      <c r="C15" s="31" t="n">
        <f aca="false">Assumptions!$C$5</f>
        <v>100</v>
      </c>
      <c r="D15" s="34"/>
      <c r="J15" s="33" t="n">
        <f aca="false">$C15*Assumptions!$C$17</f>
        <v>100</v>
      </c>
      <c r="K15" s="33" t="n">
        <f aca="false">$C15*Assumptions!$D$17</f>
        <v>15</v>
      </c>
      <c r="L15" s="33" t="n">
        <f aca="false">$C15*Assumptions!$E$17</f>
        <v>5</v>
      </c>
      <c r="M15" s="33" t="n">
        <f aca="false">$C15*Assumptions!$G$17</f>
        <v>125</v>
      </c>
      <c r="O15" s="4" t="s">
        <v>198</v>
      </c>
      <c r="P15" s="31" t="n">
        <f aca="false">Assumptions!$C$11*Assumptions!$C$5*Assumptions!$C$9</f>
        <v>57.5</v>
      </c>
      <c r="Q15" s="34"/>
      <c r="W15" s="33" t="n">
        <f aca="false">$P15*Assumptions!$C$18</f>
        <v>57.5</v>
      </c>
      <c r="X15" s="33" t="n">
        <f aca="false">$P15*Assumptions!$D$18</f>
        <v>57.5</v>
      </c>
      <c r="Y15" s="33" t="n">
        <f aca="false">$P15*Assumptions!$E$18</f>
        <v>0</v>
      </c>
      <c r="Z15" s="33" t="n">
        <f aca="false">$P15*Assumptions!$G$18</f>
        <v>115</v>
      </c>
    </row>
    <row r="16" customFormat="false" ht="15" hidden="false" customHeight="false" outlineLevel="0" collapsed="false">
      <c r="B16" s="4" t="s">
        <v>199</v>
      </c>
      <c r="C16" s="31" t="n">
        <f aca="false">Assumptions!$C$5</f>
        <v>100</v>
      </c>
      <c r="D16" s="34"/>
      <c r="K16" s="33" t="n">
        <f aca="false">$C16*Assumptions!$C$17</f>
        <v>100</v>
      </c>
      <c r="L16" s="33" t="n">
        <f aca="false">$C16*Assumptions!$D$17</f>
        <v>15</v>
      </c>
      <c r="M16" s="33" t="n">
        <f aca="false">$C16*Assumptions!$G$17</f>
        <v>125</v>
      </c>
      <c r="O16" s="4" t="s">
        <v>200</v>
      </c>
      <c r="P16" s="31" t="n">
        <f aca="false">Assumptions!$C$11*Assumptions!$C$5*Assumptions!$C$9</f>
        <v>57.5</v>
      </c>
      <c r="Q16" s="34"/>
      <c r="X16" s="33" t="n">
        <f aca="false">$P16*Assumptions!$C$18</f>
        <v>57.5</v>
      </c>
      <c r="Y16" s="33" t="n">
        <f aca="false">$P16*Assumptions!$D$18</f>
        <v>57.5</v>
      </c>
      <c r="Z16" s="33" t="n">
        <f aca="false">$P16*Assumptions!$G$18</f>
        <v>115</v>
      </c>
    </row>
    <row r="17" customFormat="false" ht="15" hidden="false" customHeight="false" outlineLevel="0" collapsed="false">
      <c r="B17" s="4" t="s">
        <v>201</v>
      </c>
      <c r="C17" s="31" t="n">
        <f aca="false">Assumptions!$C$5</f>
        <v>100</v>
      </c>
      <c r="D17" s="34"/>
      <c r="L17" s="33" t="n">
        <f aca="false">$C17*Assumptions!$C$17</f>
        <v>100</v>
      </c>
      <c r="M17" s="33" t="n">
        <f aca="false">$C17*Assumptions!$G$17</f>
        <v>125</v>
      </c>
      <c r="O17" s="4" t="s">
        <v>202</v>
      </c>
      <c r="P17" s="31" t="n">
        <f aca="false">Assumptions!$C$11*Assumptions!$C$5*Assumptions!$C$9</f>
        <v>57.5</v>
      </c>
      <c r="Q17" s="34"/>
      <c r="Y17" s="33" t="n">
        <f aca="false">$P17*Assumptions!$C$18</f>
        <v>57.5</v>
      </c>
      <c r="Z17" s="33" t="n">
        <f aca="false">$P17*Assumptions!$G$18</f>
        <v>115</v>
      </c>
    </row>
    <row r="18" customFormat="false" ht="15" hidden="false" customHeight="false" outlineLevel="0" collapsed="false">
      <c r="B18" s="8" t="s">
        <v>203</v>
      </c>
      <c r="C18" s="8" t="s">
        <v>204</v>
      </c>
      <c r="D18" s="35" t="n">
        <f aca="false">D8+SUM(D9:D17)</f>
        <v>100</v>
      </c>
      <c r="E18" s="13" t="n">
        <f aca="false">E8+SUM(E9:E17)</f>
        <v>115</v>
      </c>
      <c r="F18" s="13" t="n">
        <f aca="false">F8+SUM(F9:F17)</f>
        <v>120</v>
      </c>
      <c r="G18" s="13" t="n">
        <f aca="false">G8+SUM(G9:G17)</f>
        <v>125</v>
      </c>
      <c r="H18" s="13" t="n">
        <f aca="false">H8+SUM(H9:H17)</f>
        <v>125</v>
      </c>
      <c r="I18" s="13" t="n">
        <f aca="false">I8+SUM(I9:I17)</f>
        <v>125</v>
      </c>
      <c r="J18" s="13" t="n">
        <f aca="false">J8+SUM(J9:J17)</f>
        <v>125</v>
      </c>
      <c r="K18" s="13" t="n">
        <f aca="false">K8+SUM(K9:K17)</f>
        <v>125</v>
      </c>
      <c r="L18" s="13" t="n">
        <f aca="false">L8+SUM(L9:L17)</f>
        <v>125</v>
      </c>
      <c r="M18" s="13" t="n">
        <f aca="false">SUM(M9:M17)</f>
        <v>1125</v>
      </c>
      <c r="O18" s="8" t="s">
        <v>203</v>
      </c>
      <c r="P18" s="8" t="s">
        <v>204</v>
      </c>
      <c r="Q18" s="35" t="n">
        <f aca="false">Q8+SUM(Q9:Q17)</f>
        <v>115</v>
      </c>
      <c r="R18" s="13" t="n">
        <f aca="false">R8+SUM(R9:R17)</f>
        <v>115</v>
      </c>
      <c r="S18" s="13" t="n">
        <f aca="false">S8+SUM(S9:S17)</f>
        <v>115</v>
      </c>
      <c r="T18" s="13" t="n">
        <f aca="false">T8+SUM(T9:T17)</f>
        <v>115</v>
      </c>
      <c r="U18" s="13" t="n">
        <f aca="false">U8+SUM(U9:U17)</f>
        <v>115</v>
      </c>
      <c r="V18" s="13" t="n">
        <f aca="false">V8+SUM(V9:V17)</f>
        <v>115</v>
      </c>
      <c r="W18" s="13" t="n">
        <f aca="false">W8+SUM(W9:W17)</f>
        <v>115</v>
      </c>
      <c r="X18" s="13" t="n">
        <f aca="false">X8+SUM(X9:X17)</f>
        <v>115</v>
      </c>
      <c r="Y18" s="13" t="n">
        <f aca="false">Y8+SUM(Y9:Y17)</f>
        <v>115</v>
      </c>
      <c r="Z18" s="13" t="n">
        <f aca="false">SUM(Z9:Z17)</f>
        <v>1092.5</v>
      </c>
    </row>
    <row r="19" customFormat="false" ht="15" hidden="false" customHeight="false" outlineLevel="0" collapsed="false">
      <c r="B19" s="2" t="s">
        <v>205</v>
      </c>
      <c r="D19" s="36" t="n">
        <f aca="false">D18/D7</f>
        <v>0.8</v>
      </c>
      <c r="E19" s="37" t="n">
        <f aca="false">E18/E7</f>
        <v>0.92</v>
      </c>
      <c r="F19" s="37" t="n">
        <f aca="false">F18/F7</f>
        <v>0.96</v>
      </c>
      <c r="G19" s="37" t="n">
        <f aca="false">G18/G7</f>
        <v>1</v>
      </c>
      <c r="H19" s="37" t="n">
        <f aca="false">H18/H7</f>
        <v>1</v>
      </c>
      <c r="I19" s="37" t="n">
        <f aca="false">I18/I7</f>
        <v>1</v>
      </c>
      <c r="J19" s="37" t="n">
        <f aca="false">J18/J7</f>
        <v>1</v>
      </c>
      <c r="K19" s="37" t="n">
        <f aca="false">K18/K7</f>
        <v>1</v>
      </c>
      <c r="L19" s="37" t="n">
        <f aca="false">L18/L7</f>
        <v>1</v>
      </c>
      <c r="O19" s="2" t="s">
        <v>205</v>
      </c>
      <c r="Q19" s="36" t="n">
        <f aca="false">Q18/Q7</f>
        <v>0.92</v>
      </c>
      <c r="R19" s="37" t="n">
        <f aca="false">R18/R7</f>
        <v>0.92</v>
      </c>
      <c r="S19" s="37" t="n">
        <f aca="false">S18/S7</f>
        <v>0.92</v>
      </c>
      <c r="T19" s="37" t="n">
        <f aca="false">T18/T7</f>
        <v>0.92</v>
      </c>
      <c r="U19" s="37" t="n">
        <f aca="false">U18/U7</f>
        <v>0.92</v>
      </c>
      <c r="V19" s="37" t="n">
        <f aca="false">V18/V7</f>
        <v>0.92</v>
      </c>
      <c r="W19" s="37" t="n">
        <f aca="false">W18/W7</f>
        <v>0.92</v>
      </c>
      <c r="X19" s="37" t="n">
        <f aca="false">X18/X7</f>
        <v>0.92</v>
      </c>
      <c r="Y19" s="37" t="n">
        <f aca="false">Y18/Y7</f>
        <v>0.92</v>
      </c>
    </row>
    <row r="20" customFormat="false" ht="15" hidden="false" customHeight="false" outlineLevel="0" collapsed="false">
      <c r="B20" s="2" t="s">
        <v>206</v>
      </c>
      <c r="D20" s="38" t="n">
        <f aca="false">D18-Assumptions!$C$5</f>
        <v>0</v>
      </c>
      <c r="E20" s="39" t="n">
        <f aca="false">E18-D18</f>
        <v>15</v>
      </c>
      <c r="F20" s="39" t="n">
        <f aca="false">F18-E18</f>
        <v>5</v>
      </c>
      <c r="G20" s="39" t="n">
        <f aca="false">G18-F18</f>
        <v>5</v>
      </c>
      <c r="H20" s="39" t="n">
        <f aca="false">H18-G18</f>
        <v>0</v>
      </c>
      <c r="I20" s="39" t="n">
        <f aca="false">I18-H18</f>
        <v>0</v>
      </c>
      <c r="J20" s="39" t="n">
        <f aca="false">J18-I18</f>
        <v>0</v>
      </c>
      <c r="K20" s="39" t="n">
        <f aca="false">K18-J18</f>
        <v>0</v>
      </c>
      <c r="L20" s="39" t="n">
        <f aca="false">L18-K18</f>
        <v>0</v>
      </c>
      <c r="O20" s="2" t="s">
        <v>206</v>
      </c>
      <c r="Q20" s="38" t="n">
        <f aca="false">Q18-Assumptions!$C$5</f>
        <v>15</v>
      </c>
      <c r="R20" s="39" t="n">
        <f aca="false">R18-Q18</f>
        <v>0</v>
      </c>
      <c r="S20" s="39" t="n">
        <f aca="false">S18-R18</f>
        <v>0</v>
      </c>
      <c r="T20" s="39" t="n">
        <f aca="false">T18-S18</f>
        <v>0</v>
      </c>
      <c r="U20" s="39" t="n">
        <f aca="false">U18-T18</f>
        <v>0</v>
      </c>
      <c r="V20" s="39" t="n">
        <f aca="false">V18-U18</f>
        <v>0</v>
      </c>
      <c r="W20" s="39" t="n">
        <f aca="false">W18-V18</f>
        <v>0</v>
      </c>
      <c r="X20" s="39" t="n">
        <f aca="false">X18-W18</f>
        <v>0</v>
      </c>
      <c r="Y20" s="39" t="n">
        <f aca="false">Y18-X18</f>
        <v>0</v>
      </c>
    </row>
    <row r="21" customFormat="false" ht="15" hidden="false" customHeight="false" outlineLevel="0" collapsed="false">
      <c r="D21" s="34"/>
      <c r="Q21" s="34"/>
    </row>
    <row r="24" customFormat="false" ht="15" hidden="false" customHeight="false" outlineLevel="0" collapsed="false">
      <c r="B24" s="3" t="s">
        <v>207</v>
      </c>
    </row>
    <row r="25" customFormat="false" ht="15" hidden="false" customHeight="false" outlineLevel="0" collapsed="false">
      <c r="B25" s="5" t="s">
        <v>180</v>
      </c>
      <c r="C25" s="7" t="s">
        <v>181</v>
      </c>
      <c r="D25" s="7" t="s">
        <v>91</v>
      </c>
      <c r="E25" s="7" t="s">
        <v>92</v>
      </c>
      <c r="F25" s="7" t="s">
        <v>93</v>
      </c>
      <c r="G25" s="7" t="s">
        <v>94</v>
      </c>
      <c r="H25" s="7" t="s">
        <v>95</v>
      </c>
      <c r="I25" s="7" t="s">
        <v>96</v>
      </c>
      <c r="J25" s="7" t="s">
        <v>97</v>
      </c>
      <c r="K25" s="7" t="s">
        <v>98</v>
      </c>
      <c r="L25" s="7" t="s">
        <v>99</v>
      </c>
      <c r="M25" s="7" t="s">
        <v>100</v>
      </c>
      <c r="O25" s="25" t="s">
        <v>182</v>
      </c>
      <c r="P25" s="26" t="s">
        <v>181</v>
      </c>
      <c r="Q25" s="26" t="s">
        <v>91</v>
      </c>
      <c r="R25" s="26" t="s">
        <v>92</v>
      </c>
      <c r="S25" s="26" t="s">
        <v>93</v>
      </c>
      <c r="T25" s="26" t="s">
        <v>94</v>
      </c>
      <c r="U25" s="26" t="s">
        <v>95</v>
      </c>
      <c r="V25" s="26" t="s">
        <v>96</v>
      </c>
      <c r="W25" s="26" t="s">
        <v>97</v>
      </c>
      <c r="X25" s="26" t="s">
        <v>98</v>
      </c>
      <c r="Y25" s="26" t="s">
        <v>99</v>
      </c>
      <c r="Z25" s="26" t="s">
        <v>100</v>
      </c>
    </row>
    <row r="26" customFormat="false" ht="15" hidden="false" customHeight="false" outlineLevel="0" collapsed="false">
      <c r="B26" s="2" t="s">
        <v>183</v>
      </c>
      <c r="D26" s="28" t="n">
        <f aca="false">Assumptions!$C$5*Assumptions!$C$6</f>
        <v>125</v>
      </c>
      <c r="E26" s="28" t="n">
        <f aca="false">Assumptions!$C$5*Assumptions!$C$6</f>
        <v>125</v>
      </c>
      <c r="F26" s="28" t="n">
        <f aca="false">Assumptions!$C$5*Assumptions!$C$6</f>
        <v>125</v>
      </c>
      <c r="G26" s="27" t="n">
        <f aca="false">Assumptions!$C$5*Assumptions!$C$6</f>
        <v>125</v>
      </c>
      <c r="H26" s="28" t="n">
        <f aca="false">Assumptions!$C$5*Assumptions!$C$6</f>
        <v>125</v>
      </c>
      <c r="I26" s="28" t="n">
        <f aca="false">Assumptions!$C$5*Assumptions!$C$6</f>
        <v>125</v>
      </c>
      <c r="J26" s="28" t="n">
        <f aca="false">Assumptions!$C$5*Assumptions!$C$6</f>
        <v>125</v>
      </c>
      <c r="K26" s="28" t="n">
        <f aca="false">Assumptions!$C$5*Assumptions!$C$6</f>
        <v>125</v>
      </c>
      <c r="L26" s="28" t="n">
        <f aca="false">Assumptions!$C$5*Assumptions!$C$6</f>
        <v>125</v>
      </c>
      <c r="O26" s="2" t="s">
        <v>183</v>
      </c>
      <c r="Q26" s="28" t="n">
        <f aca="false">Assumptions!$C$5*Assumptions!$C$6</f>
        <v>125</v>
      </c>
      <c r="R26" s="28" t="n">
        <f aca="false">Assumptions!$C$5*Assumptions!$C$6</f>
        <v>125</v>
      </c>
      <c r="S26" s="28" t="n">
        <f aca="false">Assumptions!$C$5*Assumptions!$C$6</f>
        <v>125</v>
      </c>
      <c r="T26" s="27" t="n">
        <f aca="false">Assumptions!$C$5*Assumptions!$C$6</f>
        <v>125</v>
      </c>
      <c r="U26" s="28" t="n">
        <f aca="false">Assumptions!$C$5*Assumptions!$C$6</f>
        <v>125</v>
      </c>
      <c r="V26" s="28" t="n">
        <f aca="false">Assumptions!$C$5*Assumptions!$C$6</f>
        <v>125</v>
      </c>
      <c r="W26" s="28" t="n">
        <f aca="false">Assumptions!$C$5*Assumptions!$C$6</f>
        <v>125</v>
      </c>
      <c r="X26" s="28" t="n">
        <f aca="false">Assumptions!$C$5*Assumptions!$C$6</f>
        <v>125</v>
      </c>
      <c r="Y26" s="28" t="n">
        <f aca="false">Assumptions!$C$5*Assumptions!$C$6</f>
        <v>125</v>
      </c>
    </row>
    <row r="27" customFormat="false" ht="15" hidden="false" customHeight="false" outlineLevel="0" collapsed="false">
      <c r="B27" s="4" t="s">
        <v>184</v>
      </c>
      <c r="D27" s="30" t="n">
        <v>100</v>
      </c>
      <c r="E27" s="30" t="n">
        <v>100</v>
      </c>
      <c r="F27" s="30" t="n">
        <v>100</v>
      </c>
      <c r="G27" s="29" t="n">
        <v>0</v>
      </c>
      <c r="H27" s="30" t="n">
        <v>0</v>
      </c>
      <c r="I27" s="30" t="n">
        <v>0</v>
      </c>
      <c r="J27" s="30" t="n">
        <v>0</v>
      </c>
      <c r="K27" s="30" t="n">
        <v>0</v>
      </c>
      <c r="L27" s="30" t="n">
        <v>0</v>
      </c>
      <c r="O27" s="4" t="s">
        <v>184</v>
      </c>
      <c r="Q27" s="30" t="n">
        <v>100</v>
      </c>
      <c r="R27" s="30" t="n">
        <v>100</v>
      </c>
      <c r="S27" s="30" t="n">
        <v>100</v>
      </c>
      <c r="T27" s="29" t="n">
        <v>0</v>
      </c>
      <c r="U27" s="30" t="n">
        <v>0</v>
      </c>
      <c r="V27" s="30" t="n">
        <v>0</v>
      </c>
      <c r="W27" s="30" t="n">
        <v>0</v>
      </c>
      <c r="X27" s="30" t="n">
        <v>0</v>
      </c>
      <c r="Y27" s="30" t="n">
        <v>0</v>
      </c>
    </row>
    <row r="28" customFormat="false" ht="15" hidden="false" customHeight="false" outlineLevel="0" collapsed="false">
      <c r="B28" s="4" t="s">
        <v>208</v>
      </c>
      <c r="C28" s="31" t="n">
        <f aca="false">MAX(Assumptions!$C$5*Assumptions!$C$12,D26-(D27))</f>
        <v>25</v>
      </c>
      <c r="D28" s="33" t="n">
        <f aca="false">$C28*Assumptions!$C$23</f>
        <v>25</v>
      </c>
      <c r="E28" s="33" t="n">
        <f aca="false">$C28*Assumptions!$D$23</f>
        <v>3.75</v>
      </c>
      <c r="F28" s="33" t="n">
        <f aca="false">$C28*Assumptions!$E$23</f>
        <v>1.25</v>
      </c>
      <c r="G28" s="32" t="n">
        <f aca="false">$C28*Assumptions!$F$23</f>
        <v>1.25</v>
      </c>
      <c r="M28" s="33" t="n">
        <f aca="false">$C28*Assumptions!$G$23</f>
        <v>31.25</v>
      </c>
      <c r="O28" s="4" t="s">
        <v>209</v>
      </c>
      <c r="P28" s="31" t="n">
        <f aca="false">MAX(Assumptions!$C$5*Assumptions!$C$12,Q26-(Q27))</f>
        <v>25</v>
      </c>
      <c r="Q28" s="33" t="n">
        <f aca="false">$P28*Assumptions!$C$21</f>
        <v>25</v>
      </c>
      <c r="R28" s="33" t="n">
        <f aca="false">$P28*Assumptions!$D$21</f>
        <v>0</v>
      </c>
      <c r="S28" s="33" t="n">
        <f aca="false">$P28*Assumptions!$E$21</f>
        <v>0</v>
      </c>
      <c r="T28" s="32" t="n">
        <f aca="false">$P28*Assumptions!$F$21</f>
        <v>0</v>
      </c>
      <c r="Z28" s="33" t="n">
        <f aca="false">$P28*Assumptions!$G$21</f>
        <v>25</v>
      </c>
    </row>
    <row r="29" customFormat="false" ht="15" hidden="false" customHeight="false" outlineLevel="0" collapsed="false">
      <c r="B29" s="4" t="s">
        <v>210</v>
      </c>
      <c r="C29" s="31" t="n">
        <f aca="false">MAX(Assumptions!$C$5*Assumptions!$C$12,E26-(E27))</f>
        <v>25</v>
      </c>
      <c r="E29" s="33" t="n">
        <f aca="false">$C29*Assumptions!$C$23</f>
        <v>25</v>
      </c>
      <c r="F29" s="33" t="n">
        <f aca="false">$C29*Assumptions!$D$23</f>
        <v>3.75</v>
      </c>
      <c r="G29" s="32" t="n">
        <f aca="false">$C29*Assumptions!$E$23</f>
        <v>1.25</v>
      </c>
      <c r="H29" s="33" t="n">
        <f aca="false">$C29*Assumptions!$F$23</f>
        <v>1.25</v>
      </c>
      <c r="M29" s="33" t="n">
        <f aca="false">$C29*Assumptions!$G$23</f>
        <v>31.25</v>
      </c>
      <c r="O29" s="4" t="s">
        <v>211</v>
      </c>
      <c r="P29" s="31" t="n">
        <f aca="false">MAX(Assumptions!$C$5*Assumptions!$C$12,R26-(R27))</f>
        <v>25</v>
      </c>
      <c r="R29" s="33" t="n">
        <f aca="false">$P29*Assumptions!$C$21</f>
        <v>25</v>
      </c>
      <c r="S29" s="33" t="n">
        <f aca="false">$P29*Assumptions!$D$21</f>
        <v>0</v>
      </c>
      <c r="T29" s="32" t="n">
        <f aca="false">$P29*Assumptions!$E$21</f>
        <v>0</v>
      </c>
      <c r="U29" s="33" t="n">
        <f aca="false">$P29*Assumptions!$F$21</f>
        <v>0</v>
      </c>
      <c r="Z29" s="33" t="n">
        <f aca="false">$P29*Assumptions!$G$21</f>
        <v>25</v>
      </c>
    </row>
    <row r="30" customFormat="false" ht="15" hidden="false" customHeight="false" outlineLevel="0" collapsed="false">
      <c r="B30" s="4" t="s">
        <v>212</v>
      </c>
      <c r="C30" s="31" t="n">
        <f aca="false">MAX(Assumptions!$C$5*Assumptions!$C$12,F26-(F27))</f>
        <v>25</v>
      </c>
      <c r="F30" s="33" t="n">
        <f aca="false">$C30*Assumptions!$C$23</f>
        <v>25</v>
      </c>
      <c r="G30" s="32" t="n">
        <f aca="false">$C30*Assumptions!$D$23</f>
        <v>3.75</v>
      </c>
      <c r="H30" s="33" t="n">
        <f aca="false">$C30*Assumptions!$E$23</f>
        <v>1.25</v>
      </c>
      <c r="I30" s="33" t="n">
        <f aca="false">$C30*Assumptions!$F$23</f>
        <v>1.25</v>
      </c>
      <c r="M30" s="33" t="n">
        <f aca="false">$C30*Assumptions!$G$23</f>
        <v>31.25</v>
      </c>
      <c r="O30" s="4" t="s">
        <v>213</v>
      </c>
      <c r="P30" s="31" t="n">
        <f aca="false">MAX(Assumptions!$C$5*Assumptions!$C$12,S26-(S27))</f>
        <v>25</v>
      </c>
      <c r="S30" s="33" t="n">
        <f aca="false">$P30*Assumptions!$C$21</f>
        <v>25</v>
      </c>
      <c r="T30" s="32" t="n">
        <f aca="false">$P30*Assumptions!$D$21</f>
        <v>0</v>
      </c>
      <c r="U30" s="33" t="n">
        <f aca="false">$P30*Assumptions!$E$21</f>
        <v>0</v>
      </c>
      <c r="V30" s="33" t="n">
        <f aca="false">$P30*Assumptions!$F$21</f>
        <v>0</v>
      </c>
      <c r="Z30" s="33" t="n">
        <f aca="false">$P30*Assumptions!$G$21</f>
        <v>25</v>
      </c>
    </row>
    <row r="31" customFormat="false" ht="15" hidden="false" customHeight="false" outlineLevel="0" collapsed="false">
      <c r="B31" s="4" t="s">
        <v>214</v>
      </c>
      <c r="C31" s="31" t="n">
        <f aca="false">MAX(Assumptions!$C$5*Assumptions!$C$12,G26-(G27))</f>
        <v>125</v>
      </c>
      <c r="G31" s="32" t="n">
        <f aca="false">$C31*Assumptions!$C$21</f>
        <v>125</v>
      </c>
      <c r="H31" s="33" t="n">
        <f aca="false">$C31*Assumptions!$D$21</f>
        <v>0</v>
      </c>
      <c r="I31" s="33" t="n">
        <f aca="false">$C31*Assumptions!$E$21</f>
        <v>0</v>
      </c>
      <c r="J31" s="33" t="n">
        <f aca="false">$C31*Assumptions!$F$21</f>
        <v>0</v>
      </c>
      <c r="M31" s="33" t="n">
        <f aca="false">$C31*Assumptions!$G$21</f>
        <v>125</v>
      </c>
      <c r="O31" s="4" t="s">
        <v>215</v>
      </c>
      <c r="P31" s="31" t="n">
        <f aca="false">Assumptions!$C$5*Assumptions!$C$6</f>
        <v>125</v>
      </c>
      <c r="T31" s="32" t="n">
        <f aca="false">$P31*Assumptions!$C$19</f>
        <v>125</v>
      </c>
      <c r="U31" s="33" t="n">
        <f aca="false">$P31*Assumptions!$D$19</f>
        <v>62.5</v>
      </c>
      <c r="V31" s="33" t="n">
        <f aca="false">$P31*Assumptions!$E$19</f>
        <v>0</v>
      </c>
      <c r="W31" s="33" t="n">
        <f aca="false">$P31*Assumptions!$F$19</f>
        <v>0</v>
      </c>
      <c r="Z31" s="33" t="n">
        <f aca="false">$P31*Assumptions!$G$19</f>
        <v>187.5</v>
      </c>
    </row>
    <row r="32" customFormat="false" ht="15" hidden="false" customHeight="false" outlineLevel="0" collapsed="false">
      <c r="B32" s="4" t="s">
        <v>216</v>
      </c>
      <c r="C32" s="31" t="n">
        <f aca="false">Assumptions!$C$5</f>
        <v>100</v>
      </c>
      <c r="G32" s="32" t="n">
        <f aca="false">$C32*Assumptions!$C$22</f>
        <v>0</v>
      </c>
      <c r="H32" s="33" t="n">
        <f aca="false">$C32*Assumptions!$D$22</f>
        <v>25</v>
      </c>
      <c r="I32" s="33" t="n">
        <f aca="false">$C32*Assumptions!$E$22</f>
        <v>10</v>
      </c>
      <c r="J32" s="33" t="n">
        <f aca="false">$C32*Assumptions!$F$22</f>
        <v>5</v>
      </c>
      <c r="M32" s="33" t="n">
        <f aca="false">$C32*Assumptions!$G$22</f>
        <v>40</v>
      </c>
      <c r="O32" s="4" t="s">
        <v>217</v>
      </c>
      <c r="P32" s="31" t="n">
        <f aca="false">Assumptions!$C$11*Assumptions!$C$5*Assumptions!$C$6</f>
        <v>62.5</v>
      </c>
      <c r="T32" s="34"/>
      <c r="U32" s="33" t="n">
        <f aca="false">$P32*Assumptions!$C$18</f>
        <v>62.5</v>
      </c>
      <c r="V32" s="33" t="n">
        <f aca="false">$P32*Assumptions!$D$18</f>
        <v>62.5</v>
      </c>
      <c r="W32" s="33" t="n">
        <f aca="false">$P32*Assumptions!$E$18</f>
        <v>0</v>
      </c>
      <c r="X32" s="33" t="n">
        <f aca="false">$P32*Assumptions!$F$18</f>
        <v>0</v>
      </c>
      <c r="Z32" s="33" t="n">
        <f aca="false">$P32*Assumptions!$G$18</f>
        <v>125</v>
      </c>
    </row>
    <row r="33" customFormat="false" ht="15" hidden="false" customHeight="false" outlineLevel="0" collapsed="false">
      <c r="B33" s="4" t="s">
        <v>193</v>
      </c>
      <c r="C33" s="31" t="n">
        <f aca="false">Assumptions!$C$5</f>
        <v>100</v>
      </c>
      <c r="G33" s="34"/>
      <c r="H33" s="33" t="n">
        <f aca="false">$C33*Assumptions!$C$17</f>
        <v>100</v>
      </c>
      <c r="I33" s="33" t="n">
        <f aca="false">$C33*Assumptions!$D$17</f>
        <v>15</v>
      </c>
      <c r="J33" s="33" t="n">
        <f aca="false">$C33*Assumptions!$E$17</f>
        <v>5</v>
      </c>
      <c r="K33" s="33" t="n">
        <f aca="false">$C33*Assumptions!$F$17</f>
        <v>5</v>
      </c>
      <c r="M33" s="33" t="n">
        <f aca="false">$C33*Assumptions!$G$17</f>
        <v>125</v>
      </c>
      <c r="O33" s="4" t="s">
        <v>218</v>
      </c>
      <c r="P33" s="31" t="n">
        <f aca="false">Assumptions!$C$11*Assumptions!$C$5*Assumptions!$C$6</f>
        <v>62.5</v>
      </c>
      <c r="T33" s="34"/>
      <c r="V33" s="33" t="n">
        <f aca="false">$P33*Assumptions!$C$18</f>
        <v>62.5</v>
      </c>
      <c r="W33" s="33" t="n">
        <f aca="false">$P33*Assumptions!$D$18</f>
        <v>62.5</v>
      </c>
      <c r="X33" s="33" t="n">
        <f aca="false">$P33*Assumptions!$E$18</f>
        <v>0</v>
      </c>
      <c r="Y33" s="33" t="n">
        <f aca="false">$P33*Assumptions!$F$18</f>
        <v>0</v>
      </c>
      <c r="Z33" s="33" t="n">
        <f aca="false">$P33*Assumptions!$G$18</f>
        <v>125</v>
      </c>
    </row>
    <row r="34" customFormat="false" ht="15" hidden="false" customHeight="false" outlineLevel="0" collapsed="false">
      <c r="B34" s="4" t="s">
        <v>195</v>
      </c>
      <c r="C34" s="31" t="n">
        <f aca="false">Assumptions!$C$5</f>
        <v>100</v>
      </c>
      <c r="G34" s="34"/>
      <c r="I34" s="33" t="n">
        <f aca="false">$C34*Assumptions!$C$17</f>
        <v>100</v>
      </c>
      <c r="J34" s="33" t="n">
        <f aca="false">$C34*Assumptions!$D$17</f>
        <v>15</v>
      </c>
      <c r="K34" s="33" t="n">
        <f aca="false">$C34*Assumptions!$E$17</f>
        <v>5</v>
      </c>
      <c r="L34" s="33" t="n">
        <f aca="false">$C34*Assumptions!$F$17</f>
        <v>5</v>
      </c>
      <c r="M34" s="33" t="n">
        <f aca="false">$C34*Assumptions!$G$17</f>
        <v>125</v>
      </c>
      <c r="O34" s="4" t="s">
        <v>219</v>
      </c>
      <c r="P34" s="31" t="n">
        <f aca="false">Assumptions!$C$11*Assumptions!$C$5*Assumptions!$C$6</f>
        <v>62.5</v>
      </c>
      <c r="T34" s="34"/>
      <c r="W34" s="33" t="n">
        <f aca="false">$P34*Assumptions!$C$18</f>
        <v>62.5</v>
      </c>
      <c r="X34" s="33" t="n">
        <f aca="false">$P34*Assumptions!$D$18</f>
        <v>62.5</v>
      </c>
      <c r="Y34" s="33" t="n">
        <f aca="false">$P34*Assumptions!$E$18</f>
        <v>0</v>
      </c>
      <c r="Z34" s="33" t="n">
        <f aca="false">$P34*Assumptions!$G$18</f>
        <v>125</v>
      </c>
    </row>
    <row r="35" customFormat="false" ht="15" hidden="false" customHeight="false" outlineLevel="0" collapsed="false">
      <c r="B35" s="4" t="s">
        <v>197</v>
      </c>
      <c r="C35" s="31" t="n">
        <f aca="false">Assumptions!$C$5</f>
        <v>100</v>
      </c>
      <c r="G35" s="34"/>
      <c r="J35" s="33" t="n">
        <f aca="false">$C35*Assumptions!$C$17</f>
        <v>100</v>
      </c>
      <c r="K35" s="33" t="n">
        <f aca="false">$C35*Assumptions!$D$17</f>
        <v>15</v>
      </c>
      <c r="L35" s="33" t="n">
        <f aca="false">$C35*Assumptions!$E$17</f>
        <v>5</v>
      </c>
      <c r="M35" s="33" t="n">
        <f aca="false">$C35*Assumptions!$G$17</f>
        <v>125</v>
      </c>
      <c r="O35" s="4" t="s">
        <v>220</v>
      </c>
      <c r="P35" s="31" t="n">
        <f aca="false">Assumptions!$C$11*Assumptions!$C$5*Assumptions!$C$6</f>
        <v>62.5</v>
      </c>
      <c r="T35" s="34"/>
      <c r="X35" s="33" t="n">
        <f aca="false">$P35*Assumptions!$C$18</f>
        <v>62.5</v>
      </c>
      <c r="Y35" s="33" t="n">
        <f aca="false">$P35*Assumptions!$D$18</f>
        <v>62.5</v>
      </c>
      <c r="Z35" s="33" t="n">
        <f aca="false">$P35*Assumptions!$G$18</f>
        <v>125</v>
      </c>
    </row>
    <row r="36" customFormat="false" ht="15" hidden="false" customHeight="false" outlineLevel="0" collapsed="false">
      <c r="B36" s="4" t="s">
        <v>199</v>
      </c>
      <c r="C36" s="31" t="n">
        <f aca="false">Assumptions!$C$5</f>
        <v>100</v>
      </c>
      <c r="G36" s="34"/>
      <c r="K36" s="33" t="n">
        <f aca="false">$C36*Assumptions!$C$17</f>
        <v>100</v>
      </c>
      <c r="L36" s="33" t="n">
        <f aca="false">$C36*Assumptions!$D$17</f>
        <v>15</v>
      </c>
      <c r="M36" s="33" t="n">
        <f aca="false">$C36*Assumptions!$G$17</f>
        <v>125</v>
      </c>
      <c r="O36" s="4" t="s">
        <v>221</v>
      </c>
      <c r="P36" s="31" t="n">
        <f aca="false">Assumptions!$C$11*Assumptions!$C$5*Assumptions!$C$6</f>
        <v>62.5</v>
      </c>
      <c r="T36" s="34"/>
      <c r="Y36" s="33" t="n">
        <f aca="false">$P36*Assumptions!$C$18</f>
        <v>62.5</v>
      </c>
      <c r="Z36" s="33" t="n">
        <f aca="false">$P36*Assumptions!$G$18</f>
        <v>125</v>
      </c>
    </row>
    <row r="37" customFormat="false" ht="15" hidden="false" customHeight="false" outlineLevel="0" collapsed="false">
      <c r="B37" s="4" t="s">
        <v>201</v>
      </c>
      <c r="C37" s="31" t="n">
        <f aca="false">Assumptions!$C$5</f>
        <v>100</v>
      </c>
      <c r="G37" s="34"/>
      <c r="L37" s="33" t="n">
        <f aca="false">$C37*Assumptions!$C$17</f>
        <v>100</v>
      </c>
      <c r="M37" s="33" t="n">
        <f aca="false">$C37*Assumptions!$G$17</f>
        <v>125</v>
      </c>
      <c r="O37" s="8" t="s">
        <v>203</v>
      </c>
      <c r="P37" s="8" t="s">
        <v>204</v>
      </c>
      <c r="Q37" s="13" t="n">
        <f aca="false">Q27+SUM(Q28:Q36)</f>
        <v>125</v>
      </c>
      <c r="R37" s="13" t="n">
        <f aca="false">R27+SUM(R28:R36)</f>
        <v>125</v>
      </c>
      <c r="S37" s="13" t="n">
        <f aca="false">S27+SUM(S28:S36)</f>
        <v>125</v>
      </c>
      <c r="T37" s="35" t="n">
        <f aca="false">T27+SUM(T28:T36)</f>
        <v>125</v>
      </c>
      <c r="U37" s="13" t="n">
        <f aca="false">U27+SUM(U28:U36)</f>
        <v>125</v>
      </c>
      <c r="V37" s="13" t="n">
        <f aca="false">V27+SUM(V28:V36)</f>
        <v>125</v>
      </c>
      <c r="W37" s="13" t="n">
        <f aca="false">W27+SUM(W28:W36)</f>
        <v>125</v>
      </c>
      <c r="X37" s="13" t="n">
        <f aca="false">X27+SUM(X28:X36)</f>
        <v>125</v>
      </c>
      <c r="Y37" s="13" t="n">
        <f aca="false">Y27+SUM(Y28:Y36)</f>
        <v>125</v>
      </c>
      <c r="Z37" s="13" t="n">
        <f aca="false">SUM(Z28:Z36)</f>
        <v>887.5</v>
      </c>
    </row>
    <row r="38" customFormat="false" ht="15" hidden="false" customHeight="false" outlineLevel="0" collapsed="false">
      <c r="B38" s="8" t="s">
        <v>203</v>
      </c>
      <c r="C38" s="8" t="s">
        <v>204</v>
      </c>
      <c r="D38" s="13" t="n">
        <f aca="false">D27+SUM(D28:D37)</f>
        <v>125</v>
      </c>
      <c r="E38" s="13" t="n">
        <f aca="false">E27+SUM(E28:E37)</f>
        <v>128.75</v>
      </c>
      <c r="F38" s="13" t="n">
        <f aca="false">F27+SUM(F28:F37)</f>
        <v>130</v>
      </c>
      <c r="G38" s="35" t="n">
        <f aca="false">G27+SUM(G28:G37)</f>
        <v>131.25</v>
      </c>
      <c r="H38" s="13" t="n">
        <f aca="false">H27+SUM(H28:H37)</f>
        <v>127.5</v>
      </c>
      <c r="I38" s="13" t="n">
        <f aca="false">I27+SUM(I28:I37)</f>
        <v>126.25</v>
      </c>
      <c r="J38" s="13" t="n">
        <f aca="false">J27+SUM(J28:J37)</f>
        <v>125</v>
      </c>
      <c r="K38" s="13" t="n">
        <f aca="false">K27+SUM(K28:K37)</f>
        <v>125</v>
      </c>
      <c r="L38" s="13" t="n">
        <f aca="false">L27+SUM(L28:L37)</f>
        <v>125</v>
      </c>
      <c r="M38" s="13" t="n">
        <f aca="false">SUM(M28:M37)</f>
        <v>883.75</v>
      </c>
      <c r="O38" s="2" t="s">
        <v>205</v>
      </c>
      <c r="Q38" s="37" t="n">
        <f aca="false">Q37/Q26</f>
        <v>1</v>
      </c>
      <c r="R38" s="37" t="n">
        <f aca="false">R37/R26</f>
        <v>1</v>
      </c>
      <c r="S38" s="37" t="n">
        <f aca="false">S37/S26</f>
        <v>1</v>
      </c>
      <c r="T38" s="36" t="n">
        <f aca="false">T37/T26</f>
        <v>1</v>
      </c>
      <c r="U38" s="37" t="n">
        <f aca="false">U37/U26</f>
        <v>1</v>
      </c>
      <c r="V38" s="37" t="n">
        <f aca="false">V37/V26</f>
        <v>1</v>
      </c>
      <c r="W38" s="37" t="n">
        <f aca="false">W37/W26</f>
        <v>1</v>
      </c>
      <c r="X38" s="37" t="n">
        <f aca="false">X37/X26</f>
        <v>1</v>
      </c>
      <c r="Y38" s="37" t="n">
        <f aca="false">Y37/Y26</f>
        <v>1</v>
      </c>
    </row>
    <row r="39" customFormat="false" ht="15" hidden="false" customHeight="false" outlineLevel="0" collapsed="false">
      <c r="B39" s="2" t="s">
        <v>205</v>
      </c>
      <c r="D39" s="37" t="n">
        <f aca="false">D38/D26</f>
        <v>1</v>
      </c>
      <c r="E39" s="37" t="n">
        <f aca="false">E38/E26</f>
        <v>1.03</v>
      </c>
      <c r="F39" s="37" t="n">
        <f aca="false">F38/F26</f>
        <v>1.04</v>
      </c>
      <c r="G39" s="36" t="n">
        <f aca="false">G38/G26</f>
        <v>1.05</v>
      </c>
      <c r="H39" s="37" t="n">
        <f aca="false">H38/H26</f>
        <v>1.02</v>
      </c>
      <c r="I39" s="37" t="n">
        <f aca="false">I38/I26</f>
        <v>1.01</v>
      </c>
      <c r="J39" s="37" t="n">
        <f aca="false">J38/J26</f>
        <v>1</v>
      </c>
      <c r="K39" s="37" t="n">
        <f aca="false">K38/K26</f>
        <v>1</v>
      </c>
      <c r="L39" s="37" t="n">
        <f aca="false">L38/L26</f>
        <v>1</v>
      </c>
      <c r="O39" s="2" t="s">
        <v>206</v>
      </c>
      <c r="Q39" s="39" t="n">
        <f aca="false">Q37-Assumptions!$C$5</f>
        <v>25</v>
      </c>
      <c r="R39" s="39" t="n">
        <f aca="false">R37-Q37</f>
        <v>0</v>
      </c>
      <c r="S39" s="39" t="n">
        <f aca="false">S37-R37</f>
        <v>0</v>
      </c>
      <c r="T39" s="38" t="n">
        <f aca="false">T37-S37</f>
        <v>0</v>
      </c>
      <c r="U39" s="39" t="n">
        <f aca="false">U37-T37</f>
        <v>0</v>
      </c>
      <c r="V39" s="39" t="n">
        <f aca="false">V37-U37</f>
        <v>0</v>
      </c>
      <c r="W39" s="39" t="n">
        <f aca="false">W37-V37</f>
        <v>0</v>
      </c>
      <c r="X39" s="39" t="n">
        <f aca="false">X37-W37</f>
        <v>0</v>
      </c>
      <c r="Y39" s="39" t="n">
        <f aca="false">Y37-X37</f>
        <v>0</v>
      </c>
    </row>
    <row r="40" customFormat="false" ht="15" hidden="false" customHeight="false" outlineLevel="0" collapsed="false">
      <c r="B40" s="2" t="s">
        <v>206</v>
      </c>
      <c r="D40" s="39" t="n">
        <f aca="false">D38-Assumptions!$C$5</f>
        <v>25</v>
      </c>
      <c r="E40" s="39" t="n">
        <f aca="false">E38-D38</f>
        <v>3.75</v>
      </c>
      <c r="F40" s="39" t="n">
        <f aca="false">F38-E38</f>
        <v>1.25</v>
      </c>
      <c r="G40" s="38" t="n">
        <f aca="false">G38-F38</f>
        <v>1.25</v>
      </c>
      <c r="H40" s="39" t="n">
        <f aca="false">H38-G38</f>
        <v>-3.75</v>
      </c>
      <c r="I40" s="39" t="n">
        <f aca="false">I38-H38</f>
        <v>-1.25</v>
      </c>
      <c r="J40" s="39" t="n">
        <f aca="false">J38-I38</f>
        <v>-1.25</v>
      </c>
      <c r="K40" s="39" t="n">
        <f aca="false">K38-J38</f>
        <v>0</v>
      </c>
      <c r="L40" s="39" t="n">
        <f aca="false">L38-K38</f>
        <v>0</v>
      </c>
      <c r="T40" s="34"/>
    </row>
    <row r="41" customFormat="false" ht="15" hidden="false" customHeight="false" outlineLevel="0" collapsed="false">
      <c r="G41" s="34"/>
    </row>
    <row r="44" customFormat="false" ht="15" hidden="false" customHeight="false" outlineLevel="0" collapsed="false">
      <c r="B44" s="3" t="s">
        <v>222</v>
      </c>
    </row>
    <row r="45" customFormat="false" ht="15" hidden="false" customHeight="false" outlineLevel="0" collapsed="false">
      <c r="B45" s="5" t="s">
        <v>180</v>
      </c>
      <c r="C45" s="7" t="s">
        <v>181</v>
      </c>
      <c r="D45" s="7" t="s">
        <v>91</v>
      </c>
      <c r="E45" s="7" t="s">
        <v>92</v>
      </c>
      <c r="F45" s="7" t="s">
        <v>93</v>
      </c>
      <c r="G45" s="7" t="s">
        <v>94</v>
      </c>
      <c r="H45" s="7" t="s">
        <v>95</v>
      </c>
      <c r="I45" s="7" t="s">
        <v>96</v>
      </c>
      <c r="J45" s="7" t="s">
        <v>97</v>
      </c>
      <c r="K45" s="7" t="s">
        <v>98</v>
      </c>
      <c r="L45" s="7" t="s">
        <v>99</v>
      </c>
      <c r="M45" s="7" t="s">
        <v>100</v>
      </c>
      <c r="O45" s="25" t="s">
        <v>182</v>
      </c>
      <c r="P45" s="26" t="s">
        <v>181</v>
      </c>
      <c r="Q45" s="26" t="s">
        <v>91</v>
      </c>
      <c r="R45" s="26" t="s">
        <v>92</v>
      </c>
      <c r="S45" s="26" t="s">
        <v>93</v>
      </c>
      <c r="T45" s="26" t="s">
        <v>94</v>
      </c>
      <c r="U45" s="26" t="s">
        <v>95</v>
      </c>
      <c r="V45" s="26" t="s">
        <v>96</v>
      </c>
      <c r="W45" s="26" t="s">
        <v>97</v>
      </c>
      <c r="X45" s="26" t="s">
        <v>98</v>
      </c>
      <c r="Y45" s="26" t="s">
        <v>99</v>
      </c>
      <c r="Z45" s="26" t="s">
        <v>100</v>
      </c>
    </row>
    <row r="46" customFormat="false" ht="15" hidden="false" customHeight="false" outlineLevel="0" collapsed="false">
      <c r="B46" s="2" t="s">
        <v>183</v>
      </c>
      <c r="D46" s="28" t="n">
        <f aca="false">Assumptions!$C$5*Assumptions!$C$6</f>
        <v>125</v>
      </c>
      <c r="E46" s="28" t="n">
        <f aca="false">Assumptions!$C$5*Assumptions!$C$6</f>
        <v>125</v>
      </c>
      <c r="F46" s="28" t="n">
        <f aca="false">Assumptions!$C$5*Assumptions!$C$6</f>
        <v>125</v>
      </c>
      <c r="G46" s="27" t="n">
        <f aca="false">Assumptions!$C$5*Assumptions!$C$6</f>
        <v>125</v>
      </c>
      <c r="H46" s="28" t="n">
        <f aca="false">Assumptions!$C$5*Assumptions!$C$6</f>
        <v>125</v>
      </c>
      <c r="I46" s="28" t="n">
        <f aca="false">Assumptions!$C$5*Assumptions!$C$6</f>
        <v>125</v>
      </c>
      <c r="J46" s="28" t="n">
        <f aca="false">Assumptions!$C$5*Assumptions!$C$6</f>
        <v>125</v>
      </c>
      <c r="K46" s="28" t="n">
        <f aca="false">Assumptions!$C$5*Assumptions!$C$6</f>
        <v>125</v>
      </c>
      <c r="L46" s="28" t="n">
        <f aca="false">Assumptions!$C$5*Assumptions!$C$6</f>
        <v>125</v>
      </c>
      <c r="O46" s="2" t="s">
        <v>183</v>
      </c>
      <c r="Q46" s="28" t="n">
        <f aca="false">Assumptions!$C$5*Assumptions!$C$6</f>
        <v>125</v>
      </c>
      <c r="R46" s="28" t="n">
        <f aca="false">Assumptions!$C$5*Assumptions!$C$6</f>
        <v>125</v>
      </c>
      <c r="S46" s="28" t="n">
        <f aca="false">Assumptions!$C$5*Assumptions!$C$6</f>
        <v>125</v>
      </c>
      <c r="T46" s="27" t="n">
        <f aca="false">Assumptions!$C$5*Assumptions!$C$6</f>
        <v>125</v>
      </c>
      <c r="U46" s="28" t="n">
        <f aca="false">Assumptions!$C$5*Assumptions!$C$6</f>
        <v>125</v>
      </c>
      <c r="V46" s="28" t="n">
        <f aca="false">Assumptions!$C$5*Assumptions!$C$6</f>
        <v>125</v>
      </c>
      <c r="W46" s="28" t="n">
        <f aca="false">Assumptions!$C$5*Assumptions!$C$6</f>
        <v>125</v>
      </c>
      <c r="X46" s="28" t="n">
        <f aca="false">Assumptions!$C$5*Assumptions!$C$6</f>
        <v>125</v>
      </c>
      <c r="Y46" s="28" t="n">
        <f aca="false">Assumptions!$C$5*Assumptions!$C$6</f>
        <v>125</v>
      </c>
    </row>
    <row r="47" customFormat="false" ht="15" hidden="false" customHeight="false" outlineLevel="0" collapsed="false">
      <c r="B47" s="4" t="s">
        <v>184</v>
      </c>
      <c r="D47" s="30" t="n">
        <v>100</v>
      </c>
      <c r="E47" s="30" t="n">
        <v>100</v>
      </c>
      <c r="F47" s="30" t="n">
        <v>100</v>
      </c>
      <c r="G47" s="29" t="n">
        <v>25</v>
      </c>
      <c r="H47" s="30" t="n">
        <v>0</v>
      </c>
      <c r="I47" s="30" t="n">
        <v>0</v>
      </c>
      <c r="J47" s="30" t="n">
        <v>0</v>
      </c>
      <c r="K47" s="30" t="n">
        <v>0</v>
      </c>
      <c r="L47" s="30" t="n">
        <v>0</v>
      </c>
      <c r="O47" s="4" t="s">
        <v>184</v>
      </c>
      <c r="Q47" s="30" t="n">
        <v>100</v>
      </c>
      <c r="R47" s="30" t="n">
        <v>100</v>
      </c>
      <c r="S47" s="30" t="n">
        <v>100</v>
      </c>
      <c r="T47" s="29" t="n">
        <v>25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</row>
    <row r="48" customFormat="false" ht="15" hidden="false" customHeight="false" outlineLevel="0" collapsed="false">
      <c r="B48" s="4" t="s">
        <v>208</v>
      </c>
      <c r="C48" s="31" t="n">
        <f aca="false">MAX(Assumptions!$C$5*Assumptions!$C$12,D46-(D47))</f>
        <v>25</v>
      </c>
      <c r="D48" s="33" t="n">
        <f aca="false">$C48*Assumptions!$C$23</f>
        <v>25</v>
      </c>
      <c r="E48" s="33" t="n">
        <f aca="false">$C48*Assumptions!$D$23</f>
        <v>3.75</v>
      </c>
      <c r="F48" s="33" t="n">
        <f aca="false">$C48*Assumptions!$E$23</f>
        <v>1.25</v>
      </c>
      <c r="G48" s="32" t="n">
        <f aca="false">$C48*Assumptions!$F$23</f>
        <v>1.25</v>
      </c>
      <c r="M48" s="33" t="n">
        <f aca="false">$C48*Assumptions!$G$23</f>
        <v>31.25</v>
      </c>
      <c r="O48" s="4" t="s">
        <v>209</v>
      </c>
      <c r="P48" s="31" t="n">
        <f aca="false">MAX(Assumptions!$C$5*Assumptions!$C$12,Q46-(Q47))</f>
        <v>25</v>
      </c>
      <c r="Q48" s="33" t="n">
        <f aca="false">$P48*Assumptions!$C$21</f>
        <v>25</v>
      </c>
      <c r="R48" s="33" t="n">
        <f aca="false">$P48*Assumptions!$D$21</f>
        <v>0</v>
      </c>
      <c r="S48" s="33" t="n">
        <f aca="false">$P48*Assumptions!$E$21</f>
        <v>0</v>
      </c>
      <c r="T48" s="32" t="n">
        <f aca="false">$P48*Assumptions!$F$21</f>
        <v>0</v>
      </c>
      <c r="Z48" s="33" t="n">
        <f aca="false">$P48*Assumptions!$G$21</f>
        <v>25</v>
      </c>
    </row>
    <row r="49" customFormat="false" ht="15" hidden="false" customHeight="false" outlineLevel="0" collapsed="false">
      <c r="B49" s="4" t="s">
        <v>210</v>
      </c>
      <c r="C49" s="31" t="n">
        <f aca="false">MAX(Assumptions!$C$5*Assumptions!$C$12,E46-(E47))</f>
        <v>25</v>
      </c>
      <c r="E49" s="33" t="n">
        <f aca="false">$C49*Assumptions!$C$23</f>
        <v>25</v>
      </c>
      <c r="F49" s="33" t="n">
        <f aca="false">$C49*Assumptions!$D$23</f>
        <v>3.75</v>
      </c>
      <c r="G49" s="32" t="n">
        <f aca="false">$C49*Assumptions!$E$23</f>
        <v>1.25</v>
      </c>
      <c r="H49" s="33" t="n">
        <f aca="false">$C49*Assumptions!$F$23</f>
        <v>1.25</v>
      </c>
      <c r="M49" s="33" t="n">
        <f aca="false">$C49*Assumptions!$G$23</f>
        <v>31.25</v>
      </c>
      <c r="O49" s="4" t="s">
        <v>211</v>
      </c>
      <c r="P49" s="31" t="n">
        <f aca="false">MAX(Assumptions!$C$5*Assumptions!$C$12,R46-(R47))</f>
        <v>25</v>
      </c>
      <c r="R49" s="33" t="n">
        <f aca="false">$P49*Assumptions!$C$21</f>
        <v>25</v>
      </c>
      <c r="S49" s="33" t="n">
        <f aca="false">$P49*Assumptions!$D$21</f>
        <v>0</v>
      </c>
      <c r="T49" s="32" t="n">
        <f aca="false">$P49*Assumptions!$E$21</f>
        <v>0</v>
      </c>
      <c r="U49" s="33" t="n">
        <f aca="false">$P49*Assumptions!$F$21</f>
        <v>0</v>
      </c>
      <c r="Z49" s="33" t="n">
        <f aca="false">$P49*Assumptions!$G$21</f>
        <v>25</v>
      </c>
    </row>
    <row r="50" customFormat="false" ht="15" hidden="false" customHeight="false" outlineLevel="0" collapsed="false">
      <c r="B50" s="4" t="s">
        <v>212</v>
      </c>
      <c r="C50" s="31" t="n">
        <f aca="false">MAX(Assumptions!$C$5*Assumptions!$C$12,F46-(F47))</f>
        <v>25</v>
      </c>
      <c r="F50" s="33" t="n">
        <f aca="false">$C50*Assumptions!$C$23</f>
        <v>25</v>
      </c>
      <c r="G50" s="32" t="n">
        <f aca="false">$C50*Assumptions!$D$23</f>
        <v>3.75</v>
      </c>
      <c r="H50" s="33" t="n">
        <f aca="false">$C50*Assumptions!$E$23</f>
        <v>1.25</v>
      </c>
      <c r="I50" s="33" t="n">
        <f aca="false">$C50*Assumptions!$F$23</f>
        <v>1.25</v>
      </c>
      <c r="M50" s="33" t="n">
        <f aca="false">$C50*Assumptions!$G$23</f>
        <v>31.25</v>
      </c>
      <c r="O50" s="4" t="s">
        <v>213</v>
      </c>
      <c r="P50" s="31" t="n">
        <f aca="false">MAX(Assumptions!$C$5*Assumptions!$C$12,S46-(S47))</f>
        <v>25</v>
      </c>
      <c r="S50" s="33" t="n">
        <f aca="false">$P50*Assumptions!$C$21</f>
        <v>25</v>
      </c>
      <c r="T50" s="32" t="n">
        <f aca="false">$P50*Assumptions!$D$21</f>
        <v>0</v>
      </c>
      <c r="U50" s="33" t="n">
        <f aca="false">$P50*Assumptions!$E$21</f>
        <v>0</v>
      </c>
      <c r="V50" s="33" t="n">
        <f aca="false">$P50*Assumptions!$F$21</f>
        <v>0</v>
      </c>
      <c r="Z50" s="33" t="n">
        <f aca="false">$P50*Assumptions!$G$21</f>
        <v>25</v>
      </c>
    </row>
    <row r="51" customFormat="false" ht="15" hidden="false" customHeight="false" outlineLevel="0" collapsed="false">
      <c r="B51" s="4" t="s">
        <v>214</v>
      </c>
      <c r="C51" s="31" t="n">
        <f aca="false">MAX(Assumptions!$C$5*Assumptions!$C$12,G46-(G47))</f>
        <v>100</v>
      </c>
      <c r="G51" s="32" t="n">
        <f aca="false">$C51*Assumptions!$C$21</f>
        <v>100</v>
      </c>
      <c r="H51" s="33" t="n">
        <f aca="false">$C51*Assumptions!$D$21</f>
        <v>0</v>
      </c>
      <c r="I51" s="33" t="n">
        <f aca="false">$C51*Assumptions!$E$21</f>
        <v>0</v>
      </c>
      <c r="J51" s="33" t="n">
        <f aca="false">$C51*Assumptions!$F$21</f>
        <v>0</v>
      </c>
      <c r="M51" s="33" t="n">
        <f aca="false">$C51*Assumptions!$G$21</f>
        <v>100</v>
      </c>
      <c r="O51" s="4" t="s">
        <v>223</v>
      </c>
      <c r="P51" s="31" t="n">
        <f aca="false">T46-(T47+$P52)</f>
        <v>37.5</v>
      </c>
      <c r="T51" s="32" t="n">
        <f aca="false">$P51*Assumptions!$C$21</f>
        <v>37.5</v>
      </c>
      <c r="U51" s="33" t="n">
        <f aca="false">$P51*Assumptions!$D$21</f>
        <v>0</v>
      </c>
      <c r="V51" s="33" t="n">
        <f aca="false">$P51*Assumptions!$E$21</f>
        <v>0</v>
      </c>
      <c r="W51" s="33" t="n">
        <f aca="false">$P51*Assumptions!$F$21</f>
        <v>0</v>
      </c>
      <c r="Z51" s="33" t="n">
        <f aca="false">$P51*Assumptions!$G$21</f>
        <v>37.5</v>
      </c>
    </row>
    <row r="52" customFormat="false" ht="15" hidden="false" customHeight="false" outlineLevel="0" collapsed="false">
      <c r="B52" s="4" t="s">
        <v>216</v>
      </c>
      <c r="C52" s="31" t="n">
        <f aca="false">Assumptions!$C$5</f>
        <v>100</v>
      </c>
      <c r="G52" s="32" t="n">
        <f aca="false">$C52*Assumptions!$C$22</f>
        <v>0</v>
      </c>
      <c r="H52" s="33" t="n">
        <f aca="false">$C52*Assumptions!$D$22</f>
        <v>25</v>
      </c>
      <c r="I52" s="33" t="n">
        <f aca="false">$C52*Assumptions!$E$22</f>
        <v>10</v>
      </c>
      <c r="J52" s="33" t="n">
        <f aca="false">$C52*Assumptions!$F$22</f>
        <v>5</v>
      </c>
      <c r="M52" s="33" t="n">
        <f aca="false">$C52*Assumptions!$G$22</f>
        <v>40</v>
      </c>
      <c r="O52" s="4" t="s">
        <v>224</v>
      </c>
      <c r="P52" s="31" t="n">
        <f aca="false">Assumptions!$C$11*Assumptions!$C$5*Assumptions!$C$6</f>
        <v>62.5</v>
      </c>
      <c r="T52" s="32" t="n">
        <f aca="false">$P52*Assumptions!$C$18</f>
        <v>62.5</v>
      </c>
      <c r="U52" s="33" t="n">
        <f aca="false">$P52*Assumptions!$D$18</f>
        <v>62.5</v>
      </c>
      <c r="V52" s="33" t="n">
        <f aca="false">$P52*Assumptions!$E$18</f>
        <v>0</v>
      </c>
      <c r="W52" s="33" t="n">
        <f aca="false">$P52*Assumptions!$F$18</f>
        <v>0</v>
      </c>
      <c r="Z52" s="33" t="n">
        <f aca="false">$P52*Assumptions!$G$18</f>
        <v>125</v>
      </c>
    </row>
    <row r="53" customFormat="false" ht="15" hidden="false" customHeight="false" outlineLevel="0" collapsed="false">
      <c r="B53" s="4" t="s">
        <v>193</v>
      </c>
      <c r="C53" s="31" t="n">
        <f aca="false">Assumptions!$C$5</f>
        <v>100</v>
      </c>
      <c r="G53" s="34"/>
      <c r="H53" s="33" t="n">
        <f aca="false">$C53*Assumptions!$C$17</f>
        <v>100</v>
      </c>
      <c r="I53" s="33" t="n">
        <f aca="false">$C53*Assumptions!$D$17</f>
        <v>15</v>
      </c>
      <c r="J53" s="33" t="n">
        <f aca="false">$C53*Assumptions!$E$17</f>
        <v>5</v>
      </c>
      <c r="K53" s="33" t="n">
        <f aca="false">$C53*Assumptions!$F$17</f>
        <v>5</v>
      </c>
      <c r="M53" s="33" t="n">
        <f aca="false">$C53*Assumptions!$G$17</f>
        <v>125</v>
      </c>
      <c r="O53" s="4" t="s">
        <v>217</v>
      </c>
      <c r="P53" s="31" t="n">
        <f aca="false">Assumptions!$C$11*Assumptions!$C$5*Assumptions!$C$6</f>
        <v>62.5</v>
      </c>
      <c r="T53" s="34"/>
      <c r="U53" s="33" t="n">
        <f aca="false">$P53*Assumptions!$C$18</f>
        <v>62.5</v>
      </c>
      <c r="V53" s="33" t="n">
        <f aca="false">$P53*Assumptions!$D$18</f>
        <v>62.5</v>
      </c>
      <c r="W53" s="33" t="n">
        <f aca="false">$P53*Assumptions!$E$18</f>
        <v>0</v>
      </c>
      <c r="X53" s="33" t="n">
        <f aca="false">$P53*Assumptions!$F$18</f>
        <v>0</v>
      </c>
      <c r="Z53" s="33" t="n">
        <f aca="false">$P53*Assumptions!$G$18</f>
        <v>125</v>
      </c>
    </row>
    <row r="54" customFormat="false" ht="15" hidden="false" customHeight="false" outlineLevel="0" collapsed="false">
      <c r="B54" s="4" t="s">
        <v>195</v>
      </c>
      <c r="C54" s="31" t="n">
        <f aca="false">Assumptions!$C$5</f>
        <v>100</v>
      </c>
      <c r="G54" s="34"/>
      <c r="I54" s="33" t="n">
        <f aca="false">$C54*Assumptions!$C$17</f>
        <v>100</v>
      </c>
      <c r="J54" s="33" t="n">
        <f aca="false">$C54*Assumptions!$D$17</f>
        <v>15</v>
      </c>
      <c r="K54" s="33" t="n">
        <f aca="false">$C54*Assumptions!$E$17</f>
        <v>5</v>
      </c>
      <c r="L54" s="33" t="n">
        <f aca="false">$C54*Assumptions!$F$17</f>
        <v>5</v>
      </c>
      <c r="M54" s="33" t="n">
        <f aca="false">$C54*Assumptions!$G$17</f>
        <v>125</v>
      </c>
      <c r="O54" s="4" t="s">
        <v>218</v>
      </c>
      <c r="P54" s="31" t="n">
        <f aca="false">Assumptions!$C$11*Assumptions!$C$5*Assumptions!$C$6</f>
        <v>62.5</v>
      </c>
      <c r="T54" s="34"/>
      <c r="V54" s="33" t="n">
        <f aca="false">$P54*Assumptions!$C$18</f>
        <v>62.5</v>
      </c>
      <c r="W54" s="33" t="n">
        <f aca="false">$P54*Assumptions!$D$18</f>
        <v>62.5</v>
      </c>
      <c r="X54" s="33" t="n">
        <f aca="false">$P54*Assumptions!$E$18</f>
        <v>0</v>
      </c>
      <c r="Y54" s="33" t="n">
        <f aca="false">$P54*Assumptions!$F$18</f>
        <v>0</v>
      </c>
      <c r="Z54" s="33" t="n">
        <f aca="false">$P54*Assumptions!$G$18</f>
        <v>125</v>
      </c>
    </row>
    <row r="55" customFormat="false" ht="15" hidden="false" customHeight="false" outlineLevel="0" collapsed="false">
      <c r="B55" s="4" t="s">
        <v>197</v>
      </c>
      <c r="C55" s="31" t="n">
        <f aca="false">Assumptions!$C$5</f>
        <v>100</v>
      </c>
      <c r="G55" s="34"/>
      <c r="J55" s="33" t="n">
        <f aca="false">$C55*Assumptions!$C$17</f>
        <v>100</v>
      </c>
      <c r="K55" s="33" t="n">
        <f aca="false">$C55*Assumptions!$D$17</f>
        <v>15</v>
      </c>
      <c r="L55" s="33" t="n">
        <f aca="false">$C55*Assumptions!$E$17</f>
        <v>5</v>
      </c>
      <c r="M55" s="33" t="n">
        <f aca="false">$C55*Assumptions!$G$17</f>
        <v>125</v>
      </c>
      <c r="O55" s="4" t="s">
        <v>219</v>
      </c>
      <c r="P55" s="31" t="n">
        <f aca="false">Assumptions!$C$11*Assumptions!$C$5*Assumptions!$C$6</f>
        <v>62.5</v>
      </c>
      <c r="T55" s="34"/>
      <c r="W55" s="33" t="n">
        <f aca="false">$P55*Assumptions!$C$18</f>
        <v>62.5</v>
      </c>
      <c r="X55" s="33" t="n">
        <f aca="false">$P55*Assumptions!$D$18</f>
        <v>62.5</v>
      </c>
      <c r="Y55" s="33" t="n">
        <f aca="false">$P55*Assumptions!$E$18</f>
        <v>0</v>
      </c>
      <c r="Z55" s="33" t="n">
        <f aca="false">$P55*Assumptions!$G$18</f>
        <v>125</v>
      </c>
    </row>
    <row r="56" customFormat="false" ht="15" hidden="false" customHeight="false" outlineLevel="0" collapsed="false">
      <c r="B56" s="4" t="s">
        <v>199</v>
      </c>
      <c r="C56" s="31" t="n">
        <f aca="false">Assumptions!$C$5</f>
        <v>100</v>
      </c>
      <c r="G56" s="34"/>
      <c r="K56" s="33" t="n">
        <f aca="false">$C56*Assumptions!$C$17</f>
        <v>100</v>
      </c>
      <c r="L56" s="33" t="n">
        <f aca="false">$C56*Assumptions!$D$17</f>
        <v>15</v>
      </c>
      <c r="M56" s="33" t="n">
        <f aca="false">$C56*Assumptions!$G$17</f>
        <v>125</v>
      </c>
      <c r="O56" s="4" t="s">
        <v>220</v>
      </c>
      <c r="P56" s="31" t="n">
        <f aca="false">Assumptions!$C$11*Assumptions!$C$5*Assumptions!$C$6</f>
        <v>62.5</v>
      </c>
      <c r="T56" s="34"/>
      <c r="X56" s="33" t="n">
        <f aca="false">$P56*Assumptions!$C$18</f>
        <v>62.5</v>
      </c>
      <c r="Y56" s="33" t="n">
        <f aca="false">$P56*Assumptions!$D$18</f>
        <v>62.5</v>
      </c>
      <c r="Z56" s="33" t="n">
        <f aca="false">$P56*Assumptions!$G$18</f>
        <v>125</v>
      </c>
    </row>
    <row r="57" customFormat="false" ht="15" hidden="false" customHeight="false" outlineLevel="0" collapsed="false">
      <c r="B57" s="4" t="s">
        <v>201</v>
      </c>
      <c r="C57" s="31" t="n">
        <f aca="false">Assumptions!$C$5</f>
        <v>100</v>
      </c>
      <c r="G57" s="34"/>
      <c r="L57" s="33" t="n">
        <f aca="false">$C57*Assumptions!$C$17</f>
        <v>100</v>
      </c>
      <c r="M57" s="33" t="n">
        <f aca="false">$C57*Assumptions!$G$17</f>
        <v>125</v>
      </c>
      <c r="O57" s="4" t="s">
        <v>221</v>
      </c>
      <c r="P57" s="31" t="n">
        <f aca="false">Assumptions!$C$11*Assumptions!$C$5*Assumptions!$C$6</f>
        <v>62.5</v>
      </c>
      <c r="T57" s="34"/>
      <c r="Y57" s="33" t="n">
        <f aca="false">$P57*Assumptions!$C$18</f>
        <v>62.5</v>
      </c>
      <c r="Z57" s="33" t="n">
        <f aca="false">$P57*Assumptions!$G$18</f>
        <v>125</v>
      </c>
    </row>
    <row r="58" customFormat="false" ht="15" hidden="false" customHeight="false" outlineLevel="0" collapsed="false">
      <c r="B58" s="8" t="s">
        <v>203</v>
      </c>
      <c r="C58" s="8" t="s">
        <v>204</v>
      </c>
      <c r="D58" s="13" t="n">
        <f aca="false">D47+SUM(D48:D57)</f>
        <v>125</v>
      </c>
      <c r="E58" s="13" t="n">
        <f aca="false">E47+SUM(E48:E57)</f>
        <v>128.75</v>
      </c>
      <c r="F58" s="13" t="n">
        <f aca="false">F47+SUM(F48:F57)</f>
        <v>130</v>
      </c>
      <c r="G58" s="35" t="n">
        <f aca="false">G47+SUM(G48:G57)</f>
        <v>131.25</v>
      </c>
      <c r="H58" s="13" t="n">
        <f aca="false">H47+SUM(H48:H57)</f>
        <v>127.5</v>
      </c>
      <c r="I58" s="13" t="n">
        <f aca="false">I47+SUM(I48:I57)</f>
        <v>126.25</v>
      </c>
      <c r="J58" s="13" t="n">
        <f aca="false">J47+SUM(J48:J57)</f>
        <v>125</v>
      </c>
      <c r="K58" s="13" t="n">
        <f aca="false">K47+SUM(K48:K57)</f>
        <v>125</v>
      </c>
      <c r="L58" s="13" t="n">
        <f aca="false">L47+SUM(L48:L57)</f>
        <v>125</v>
      </c>
      <c r="M58" s="13" t="n">
        <f aca="false">SUM(M48:M57)</f>
        <v>858.75</v>
      </c>
      <c r="O58" s="8" t="s">
        <v>203</v>
      </c>
      <c r="P58" s="8" t="s">
        <v>204</v>
      </c>
      <c r="Q58" s="13" t="n">
        <f aca="false">Q47+SUM(Q48:Q57)</f>
        <v>125</v>
      </c>
      <c r="R58" s="13" t="n">
        <f aca="false">R47+SUM(R48:R57)</f>
        <v>125</v>
      </c>
      <c r="S58" s="13" t="n">
        <f aca="false">S47+SUM(S48:S57)</f>
        <v>125</v>
      </c>
      <c r="T58" s="35" t="n">
        <f aca="false">T47+SUM(T48:T57)</f>
        <v>125</v>
      </c>
      <c r="U58" s="13" t="n">
        <f aca="false">U47+SUM(U48:U57)</f>
        <v>125</v>
      </c>
      <c r="V58" s="13" t="n">
        <f aca="false">V47+SUM(V48:V57)</f>
        <v>125</v>
      </c>
      <c r="W58" s="13" t="n">
        <f aca="false">W47+SUM(W48:W57)</f>
        <v>125</v>
      </c>
      <c r="X58" s="13" t="n">
        <f aca="false">X47+SUM(X48:X57)</f>
        <v>125</v>
      </c>
      <c r="Y58" s="13" t="n">
        <f aca="false">Y47+SUM(Y48:Y57)</f>
        <v>125</v>
      </c>
      <c r="Z58" s="13" t="n">
        <f aca="false">SUM(Z48:Z57)</f>
        <v>862.5</v>
      </c>
    </row>
    <row r="59" customFormat="false" ht="15" hidden="false" customHeight="false" outlineLevel="0" collapsed="false">
      <c r="B59" s="2" t="s">
        <v>205</v>
      </c>
      <c r="D59" s="37" t="n">
        <f aca="false">D58/D46</f>
        <v>1</v>
      </c>
      <c r="E59" s="37" t="n">
        <f aca="false">E58/E46</f>
        <v>1.03</v>
      </c>
      <c r="F59" s="37" t="n">
        <f aca="false">F58/F46</f>
        <v>1.04</v>
      </c>
      <c r="G59" s="36" t="n">
        <f aca="false">G58/G46</f>
        <v>1.05</v>
      </c>
      <c r="H59" s="37" t="n">
        <f aca="false">H58/H46</f>
        <v>1.02</v>
      </c>
      <c r="I59" s="37" t="n">
        <f aca="false">I58/I46</f>
        <v>1.01</v>
      </c>
      <c r="J59" s="37" t="n">
        <f aca="false">J58/J46</f>
        <v>1</v>
      </c>
      <c r="K59" s="37" t="n">
        <f aca="false">K58/K46</f>
        <v>1</v>
      </c>
      <c r="L59" s="37" t="n">
        <f aca="false">L58/L46</f>
        <v>1</v>
      </c>
      <c r="O59" s="2" t="s">
        <v>205</v>
      </c>
      <c r="Q59" s="37" t="n">
        <f aca="false">Q58/Q46</f>
        <v>1</v>
      </c>
      <c r="R59" s="37" t="n">
        <f aca="false">R58/R46</f>
        <v>1</v>
      </c>
      <c r="S59" s="37" t="n">
        <f aca="false">S58/S46</f>
        <v>1</v>
      </c>
      <c r="T59" s="36" t="n">
        <f aca="false">T58/T46</f>
        <v>1</v>
      </c>
      <c r="U59" s="37" t="n">
        <f aca="false">U58/U46</f>
        <v>1</v>
      </c>
      <c r="V59" s="37" t="n">
        <f aca="false">V58/V46</f>
        <v>1</v>
      </c>
      <c r="W59" s="37" t="n">
        <f aca="false">W58/W46</f>
        <v>1</v>
      </c>
      <c r="X59" s="37" t="n">
        <f aca="false">X58/X46</f>
        <v>1</v>
      </c>
      <c r="Y59" s="37" t="n">
        <f aca="false">Y58/Y46</f>
        <v>1</v>
      </c>
    </row>
    <row r="60" customFormat="false" ht="15" hidden="false" customHeight="false" outlineLevel="0" collapsed="false">
      <c r="B60" s="2" t="s">
        <v>206</v>
      </c>
      <c r="D60" s="39" t="n">
        <f aca="false">D58-Assumptions!$C$5</f>
        <v>25</v>
      </c>
      <c r="E60" s="39" t="n">
        <f aca="false">E58-D58</f>
        <v>3.75</v>
      </c>
      <c r="F60" s="39" t="n">
        <f aca="false">F58-E58</f>
        <v>1.25</v>
      </c>
      <c r="G60" s="38" t="n">
        <f aca="false">G58-F58</f>
        <v>1.25</v>
      </c>
      <c r="H60" s="39" t="n">
        <f aca="false">H58-G58</f>
        <v>-3.75</v>
      </c>
      <c r="I60" s="39" t="n">
        <f aca="false">I58-H58</f>
        <v>-1.25</v>
      </c>
      <c r="J60" s="39" t="n">
        <f aca="false">J58-I58</f>
        <v>-1.25</v>
      </c>
      <c r="K60" s="39" t="n">
        <f aca="false">K58-J58</f>
        <v>0</v>
      </c>
      <c r="L60" s="39" t="n">
        <f aca="false">L58-K58</f>
        <v>0</v>
      </c>
      <c r="O60" s="2" t="s">
        <v>206</v>
      </c>
      <c r="Q60" s="39" t="n">
        <f aca="false">Q58-Assumptions!$C$5</f>
        <v>25</v>
      </c>
      <c r="R60" s="39" t="n">
        <f aca="false">R58-Q58</f>
        <v>0</v>
      </c>
      <c r="S60" s="39" t="n">
        <f aca="false">S58-R58</f>
        <v>0</v>
      </c>
      <c r="T60" s="38" t="n">
        <f aca="false">T58-S58</f>
        <v>0</v>
      </c>
      <c r="U60" s="39" t="n">
        <f aca="false">U58-T58</f>
        <v>0</v>
      </c>
      <c r="V60" s="39" t="n">
        <f aca="false">V58-U58</f>
        <v>0</v>
      </c>
      <c r="W60" s="39" t="n">
        <f aca="false">W58-V58</f>
        <v>0</v>
      </c>
      <c r="X60" s="39" t="n">
        <f aca="false">X58-W58</f>
        <v>0</v>
      </c>
      <c r="Y60" s="39" t="n">
        <f aca="false">Y58-X58</f>
        <v>0</v>
      </c>
    </row>
    <row r="61" customFormat="false" ht="15" hidden="false" customHeight="false" outlineLevel="0" collapsed="false">
      <c r="G61" s="34"/>
      <c r="T61" s="34"/>
    </row>
    <row r="64" customFormat="false" ht="15" hidden="false" customHeight="false" outlineLevel="0" collapsed="false">
      <c r="B64" s="3" t="s">
        <v>225</v>
      </c>
    </row>
    <row r="65" customFormat="false" ht="15" hidden="false" customHeight="false" outlineLevel="0" collapsed="false">
      <c r="B65" s="5" t="s">
        <v>180</v>
      </c>
      <c r="C65" s="7" t="s">
        <v>181</v>
      </c>
      <c r="D65" s="7" t="s">
        <v>91</v>
      </c>
      <c r="E65" s="7" t="s">
        <v>92</v>
      </c>
      <c r="F65" s="7" t="s">
        <v>93</v>
      </c>
      <c r="G65" s="7" t="s">
        <v>94</v>
      </c>
      <c r="H65" s="7" t="s">
        <v>95</v>
      </c>
      <c r="I65" s="7" t="s">
        <v>96</v>
      </c>
      <c r="J65" s="7" t="s">
        <v>97</v>
      </c>
      <c r="K65" s="7" t="s">
        <v>98</v>
      </c>
      <c r="L65" s="7" t="s">
        <v>99</v>
      </c>
      <c r="M65" s="7" t="s">
        <v>100</v>
      </c>
      <c r="O65" s="25" t="s">
        <v>182</v>
      </c>
      <c r="P65" s="26" t="s">
        <v>181</v>
      </c>
      <c r="Q65" s="26" t="s">
        <v>91</v>
      </c>
      <c r="R65" s="26" t="s">
        <v>92</v>
      </c>
      <c r="S65" s="26" t="s">
        <v>93</v>
      </c>
      <c r="T65" s="26" t="s">
        <v>94</v>
      </c>
      <c r="U65" s="26" t="s">
        <v>95</v>
      </c>
      <c r="V65" s="26" t="s">
        <v>96</v>
      </c>
      <c r="W65" s="26" t="s">
        <v>97</v>
      </c>
      <c r="X65" s="26" t="s">
        <v>98</v>
      </c>
      <c r="Y65" s="26" t="s">
        <v>99</v>
      </c>
      <c r="Z65" s="26" t="s">
        <v>100</v>
      </c>
    </row>
    <row r="66" customFormat="false" ht="15" hidden="false" customHeight="false" outlineLevel="0" collapsed="false">
      <c r="B66" s="2" t="s">
        <v>183</v>
      </c>
      <c r="D66" s="28" t="n">
        <f aca="false">Assumptions!$C$5*Assumptions!$C$6</f>
        <v>125</v>
      </c>
      <c r="E66" s="28" t="n">
        <f aca="false">Assumptions!$C$5*Assumptions!$C$6</f>
        <v>125</v>
      </c>
      <c r="F66" s="28" t="n">
        <f aca="false">Assumptions!$C$5*Assumptions!$C$6</f>
        <v>125</v>
      </c>
      <c r="G66" s="27" t="n">
        <f aca="false">Assumptions!$C$5*Assumptions!$C$6</f>
        <v>125</v>
      </c>
      <c r="H66" s="28" t="n">
        <f aca="false">Assumptions!$C$5*Assumptions!$C$6</f>
        <v>125</v>
      </c>
      <c r="I66" s="28" t="n">
        <f aca="false">Assumptions!$C$5*Assumptions!$C$6</f>
        <v>125</v>
      </c>
      <c r="J66" s="28" t="n">
        <f aca="false">Assumptions!$C$5*Assumptions!$C$6</f>
        <v>125</v>
      </c>
      <c r="K66" s="28" t="n">
        <f aca="false">Assumptions!$C$5*Assumptions!$C$6</f>
        <v>125</v>
      </c>
      <c r="L66" s="28" t="n">
        <f aca="false">Assumptions!$C$5*Assumptions!$C$6</f>
        <v>125</v>
      </c>
      <c r="O66" s="2" t="s">
        <v>183</v>
      </c>
      <c r="Q66" s="28" t="n">
        <f aca="false">Assumptions!$C$5*Assumptions!$C$6</f>
        <v>125</v>
      </c>
      <c r="R66" s="28" t="n">
        <f aca="false">Assumptions!$C$5*Assumptions!$C$6</f>
        <v>125</v>
      </c>
      <c r="S66" s="28" t="n">
        <f aca="false">Assumptions!$C$5*Assumptions!$C$6</f>
        <v>125</v>
      </c>
      <c r="T66" s="27" t="n">
        <f aca="false">Assumptions!$C$5*Assumptions!$C$6</f>
        <v>125</v>
      </c>
      <c r="U66" s="28" t="n">
        <f aca="false">Assumptions!$C$5*Assumptions!$C$6</f>
        <v>125</v>
      </c>
      <c r="V66" s="28" t="n">
        <f aca="false">Assumptions!$C$5*Assumptions!$C$6</f>
        <v>125</v>
      </c>
      <c r="W66" s="28" t="n">
        <f aca="false">Assumptions!$C$5*Assumptions!$C$6</f>
        <v>125</v>
      </c>
      <c r="X66" s="28" t="n">
        <f aca="false">Assumptions!$C$5*Assumptions!$C$6</f>
        <v>125</v>
      </c>
      <c r="Y66" s="28" t="n">
        <f aca="false">Assumptions!$C$5*Assumptions!$C$6</f>
        <v>125</v>
      </c>
    </row>
    <row r="67" customFormat="false" ht="15" hidden="false" customHeight="false" outlineLevel="0" collapsed="false">
      <c r="B67" s="4" t="s">
        <v>184</v>
      </c>
      <c r="D67" s="30" t="n">
        <v>100</v>
      </c>
      <c r="E67" s="30" t="n">
        <v>100</v>
      </c>
      <c r="F67" s="30" t="n">
        <v>100</v>
      </c>
      <c r="G67" s="29" t="n">
        <v>50</v>
      </c>
      <c r="H67" s="30" t="n">
        <v>0</v>
      </c>
      <c r="I67" s="30" t="n">
        <v>0</v>
      </c>
      <c r="J67" s="30" t="n">
        <v>0</v>
      </c>
      <c r="K67" s="30" t="n">
        <v>0</v>
      </c>
      <c r="L67" s="30" t="n">
        <v>0</v>
      </c>
      <c r="O67" s="4" t="s">
        <v>184</v>
      </c>
      <c r="Q67" s="30" t="n">
        <v>100</v>
      </c>
      <c r="R67" s="30" t="n">
        <v>100</v>
      </c>
      <c r="S67" s="30" t="n">
        <v>100</v>
      </c>
      <c r="T67" s="29" t="n">
        <v>50</v>
      </c>
      <c r="U67" s="30" t="n">
        <v>0</v>
      </c>
      <c r="V67" s="30" t="n">
        <v>0</v>
      </c>
      <c r="W67" s="30" t="n">
        <v>0</v>
      </c>
      <c r="X67" s="30" t="n">
        <v>0</v>
      </c>
      <c r="Y67" s="30" t="n">
        <v>0</v>
      </c>
    </row>
    <row r="68" customFormat="false" ht="15" hidden="false" customHeight="false" outlineLevel="0" collapsed="false">
      <c r="B68" s="4" t="s">
        <v>208</v>
      </c>
      <c r="C68" s="31" t="n">
        <f aca="false">MAX(Assumptions!$C$5*Assumptions!$C$12,D66-(D67))</f>
        <v>25</v>
      </c>
      <c r="D68" s="33" t="n">
        <f aca="false">$C68*Assumptions!$C$23</f>
        <v>25</v>
      </c>
      <c r="E68" s="33" t="n">
        <f aca="false">$C68*Assumptions!$D$23</f>
        <v>3.75</v>
      </c>
      <c r="F68" s="33" t="n">
        <f aca="false">$C68*Assumptions!$E$23</f>
        <v>1.25</v>
      </c>
      <c r="G68" s="32" t="n">
        <f aca="false">$C68*Assumptions!$F$23</f>
        <v>1.25</v>
      </c>
      <c r="M68" s="33" t="n">
        <f aca="false">$C68*Assumptions!$G$23</f>
        <v>31.25</v>
      </c>
      <c r="O68" s="4" t="s">
        <v>209</v>
      </c>
      <c r="P68" s="31" t="n">
        <f aca="false">MAX(Assumptions!$C$5*Assumptions!$C$12,Q66-(Q67))</f>
        <v>25</v>
      </c>
      <c r="Q68" s="33" t="n">
        <f aca="false">$P68*Assumptions!$C$21</f>
        <v>25</v>
      </c>
      <c r="R68" s="33" t="n">
        <f aca="false">$P68*Assumptions!$D$21</f>
        <v>0</v>
      </c>
      <c r="S68" s="33" t="n">
        <f aca="false">$P68*Assumptions!$E$21</f>
        <v>0</v>
      </c>
      <c r="T68" s="32" t="n">
        <f aca="false">$P68*Assumptions!$F$21</f>
        <v>0</v>
      </c>
      <c r="Z68" s="33" t="n">
        <f aca="false">$P68*Assumptions!$G$21</f>
        <v>25</v>
      </c>
    </row>
    <row r="69" customFormat="false" ht="15" hidden="false" customHeight="false" outlineLevel="0" collapsed="false">
      <c r="B69" s="4" t="s">
        <v>210</v>
      </c>
      <c r="C69" s="31" t="n">
        <f aca="false">MAX(Assumptions!$C$5*Assumptions!$C$12,E66-(E67))</f>
        <v>25</v>
      </c>
      <c r="E69" s="33" t="n">
        <f aca="false">$C69*Assumptions!$C$23</f>
        <v>25</v>
      </c>
      <c r="F69" s="33" t="n">
        <f aca="false">$C69*Assumptions!$D$23</f>
        <v>3.75</v>
      </c>
      <c r="G69" s="32" t="n">
        <f aca="false">$C69*Assumptions!$E$23</f>
        <v>1.25</v>
      </c>
      <c r="H69" s="33" t="n">
        <f aca="false">$C69*Assumptions!$F$23</f>
        <v>1.25</v>
      </c>
      <c r="M69" s="33" t="n">
        <f aca="false">$C69*Assumptions!$G$23</f>
        <v>31.25</v>
      </c>
      <c r="O69" s="4" t="s">
        <v>211</v>
      </c>
      <c r="P69" s="31" t="n">
        <f aca="false">MAX(Assumptions!$C$5*Assumptions!$C$12,R66-(R67))</f>
        <v>25</v>
      </c>
      <c r="R69" s="33" t="n">
        <f aca="false">$P69*Assumptions!$C$21</f>
        <v>25</v>
      </c>
      <c r="S69" s="33" t="n">
        <f aca="false">$P69*Assumptions!$D$21</f>
        <v>0</v>
      </c>
      <c r="T69" s="32" t="n">
        <f aca="false">$P69*Assumptions!$E$21</f>
        <v>0</v>
      </c>
      <c r="U69" s="33" t="n">
        <f aca="false">$P69*Assumptions!$F$21</f>
        <v>0</v>
      </c>
      <c r="Z69" s="33" t="n">
        <f aca="false">$P69*Assumptions!$G$21</f>
        <v>25</v>
      </c>
    </row>
    <row r="70" customFormat="false" ht="15" hidden="false" customHeight="false" outlineLevel="0" collapsed="false">
      <c r="B70" s="4" t="s">
        <v>212</v>
      </c>
      <c r="C70" s="31" t="n">
        <f aca="false">MAX(Assumptions!$C$5*Assumptions!$C$12,F66-(F67))</f>
        <v>25</v>
      </c>
      <c r="F70" s="33" t="n">
        <f aca="false">$C70*Assumptions!$C$23</f>
        <v>25</v>
      </c>
      <c r="G70" s="32" t="n">
        <f aca="false">$C70*Assumptions!$D$23</f>
        <v>3.75</v>
      </c>
      <c r="H70" s="33" t="n">
        <f aca="false">$C70*Assumptions!$E$23</f>
        <v>1.25</v>
      </c>
      <c r="I70" s="33" t="n">
        <f aca="false">$C70*Assumptions!$F$23</f>
        <v>1.25</v>
      </c>
      <c r="M70" s="33" t="n">
        <f aca="false">$C70*Assumptions!$G$23</f>
        <v>31.25</v>
      </c>
      <c r="O70" s="4" t="s">
        <v>213</v>
      </c>
      <c r="P70" s="31" t="n">
        <f aca="false">MAX(Assumptions!$C$5*Assumptions!$C$12,S66-(S67))</f>
        <v>25</v>
      </c>
      <c r="S70" s="33" t="n">
        <f aca="false">$P70*Assumptions!$C$21</f>
        <v>25</v>
      </c>
      <c r="T70" s="32" t="n">
        <f aca="false">$P70*Assumptions!$D$21</f>
        <v>0</v>
      </c>
      <c r="U70" s="33" t="n">
        <f aca="false">$P70*Assumptions!$E$21</f>
        <v>0</v>
      </c>
      <c r="V70" s="33" t="n">
        <f aca="false">$P70*Assumptions!$F$21</f>
        <v>0</v>
      </c>
      <c r="Z70" s="33" t="n">
        <f aca="false">$P70*Assumptions!$G$21</f>
        <v>25</v>
      </c>
    </row>
    <row r="71" customFormat="false" ht="15" hidden="false" customHeight="false" outlineLevel="0" collapsed="false">
      <c r="B71" s="4" t="s">
        <v>214</v>
      </c>
      <c r="C71" s="31" t="n">
        <f aca="false">MAX(Assumptions!$C$5*Assumptions!$C$12,G66-(G67))</f>
        <v>75</v>
      </c>
      <c r="G71" s="32" t="n">
        <f aca="false">$C71*Assumptions!$C$21</f>
        <v>75</v>
      </c>
      <c r="H71" s="33" t="n">
        <f aca="false">$C71*Assumptions!$D$21</f>
        <v>0</v>
      </c>
      <c r="I71" s="33" t="n">
        <f aca="false">$C71*Assumptions!$E$21</f>
        <v>0</v>
      </c>
      <c r="J71" s="33" t="n">
        <f aca="false">$C71*Assumptions!$F$21</f>
        <v>0</v>
      </c>
      <c r="M71" s="33" t="n">
        <f aca="false">$C71*Assumptions!$G$21</f>
        <v>75</v>
      </c>
      <c r="O71" s="4" t="s">
        <v>223</v>
      </c>
      <c r="P71" s="31" t="n">
        <f aca="false">MAX(Assumptions!$C$5*Assumptions!$C$12,T66-(T67))</f>
        <v>75</v>
      </c>
      <c r="T71" s="32" t="n">
        <f aca="false">$P71*Assumptions!$C$21</f>
        <v>75</v>
      </c>
      <c r="U71" s="33" t="n">
        <f aca="false">$P71*Assumptions!$D$21</f>
        <v>0</v>
      </c>
      <c r="V71" s="33" t="n">
        <f aca="false">$P71*Assumptions!$E$21</f>
        <v>0</v>
      </c>
      <c r="W71" s="33" t="n">
        <f aca="false">$P71*Assumptions!$F$21</f>
        <v>0</v>
      </c>
      <c r="Z71" s="33" t="n">
        <f aca="false">$P71*Assumptions!$G$21</f>
        <v>75</v>
      </c>
    </row>
    <row r="72" customFormat="false" ht="15" hidden="false" customHeight="false" outlineLevel="0" collapsed="false">
      <c r="B72" s="4" t="s">
        <v>216</v>
      </c>
      <c r="C72" s="31" t="n">
        <f aca="false">Assumptions!$C$5</f>
        <v>100</v>
      </c>
      <c r="G72" s="32" t="n">
        <f aca="false">$C72*Assumptions!$C$22</f>
        <v>0</v>
      </c>
      <c r="H72" s="33" t="n">
        <f aca="false">$C72*Assumptions!$D$22</f>
        <v>25</v>
      </c>
      <c r="I72" s="33" t="n">
        <f aca="false">$C72*Assumptions!$E$22</f>
        <v>10</v>
      </c>
      <c r="J72" s="33" t="n">
        <f aca="false">$C72*Assumptions!$F$22</f>
        <v>5</v>
      </c>
      <c r="M72" s="33" t="n">
        <f aca="false">$C72*Assumptions!$G$22</f>
        <v>40</v>
      </c>
      <c r="O72" s="4" t="s">
        <v>226</v>
      </c>
      <c r="P72" s="31" t="n">
        <f aca="false">Assumptions!$C$5*Assumptions!$C$6</f>
        <v>125</v>
      </c>
      <c r="T72" s="32" t="n">
        <f aca="false">$P72*Assumptions!$C$20</f>
        <v>0</v>
      </c>
      <c r="U72" s="33" t="n">
        <f aca="false">$P72*Assumptions!$D$20</f>
        <v>125</v>
      </c>
      <c r="V72" s="33" t="n">
        <f aca="false">$P72*Assumptions!$E$20</f>
        <v>62.5</v>
      </c>
      <c r="W72" s="33" t="n">
        <f aca="false">$P72*Assumptions!$F$20</f>
        <v>0</v>
      </c>
      <c r="Z72" s="33" t="n">
        <f aca="false">$P72*Assumptions!$G$20</f>
        <v>187.5</v>
      </c>
    </row>
    <row r="73" customFormat="false" ht="15" hidden="false" customHeight="false" outlineLevel="0" collapsed="false">
      <c r="B73" s="4" t="s">
        <v>193</v>
      </c>
      <c r="C73" s="31" t="n">
        <f aca="false">Assumptions!$C$5</f>
        <v>100</v>
      </c>
      <c r="G73" s="34"/>
      <c r="H73" s="33" t="n">
        <f aca="false">$C73*Assumptions!$C$17</f>
        <v>100</v>
      </c>
      <c r="I73" s="33" t="n">
        <f aca="false">$C73*Assumptions!$D$17</f>
        <v>15</v>
      </c>
      <c r="J73" s="33" t="n">
        <f aca="false">$C73*Assumptions!$E$17</f>
        <v>5</v>
      </c>
      <c r="K73" s="33" t="n">
        <f aca="false">$C73*Assumptions!$F$17</f>
        <v>5</v>
      </c>
      <c r="M73" s="33" t="n">
        <f aca="false">$C73*Assumptions!$G$17</f>
        <v>125</v>
      </c>
      <c r="O73" s="4" t="s">
        <v>218</v>
      </c>
      <c r="P73" s="31" t="n">
        <f aca="false">Assumptions!$C$11*Assumptions!$C$5*Assumptions!$C$6</f>
        <v>62.5</v>
      </c>
      <c r="T73" s="34"/>
      <c r="V73" s="33" t="n">
        <f aca="false">$P73*Assumptions!$C$18</f>
        <v>62.5</v>
      </c>
      <c r="W73" s="33" t="n">
        <f aca="false">$P73*Assumptions!$D$18</f>
        <v>62.5</v>
      </c>
      <c r="X73" s="33" t="n">
        <f aca="false">$P73*Assumptions!$E$18</f>
        <v>0</v>
      </c>
      <c r="Y73" s="33" t="n">
        <f aca="false">$P73*Assumptions!$F$18</f>
        <v>0</v>
      </c>
      <c r="Z73" s="33" t="n">
        <f aca="false">$P73*Assumptions!$G$18</f>
        <v>125</v>
      </c>
    </row>
    <row r="74" customFormat="false" ht="15" hidden="false" customHeight="false" outlineLevel="0" collapsed="false">
      <c r="B74" s="4" t="s">
        <v>195</v>
      </c>
      <c r="C74" s="31" t="n">
        <f aca="false">Assumptions!$C$5</f>
        <v>100</v>
      </c>
      <c r="G74" s="34"/>
      <c r="I74" s="33" t="n">
        <f aca="false">$C74*Assumptions!$C$17</f>
        <v>100</v>
      </c>
      <c r="J74" s="33" t="n">
        <f aca="false">$C74*Assumptions!$D$17</f>
        <v>15</v>
      </c>
      <c r="K74" s="33" t="n">
        <f aca="false">$C74*Assumptions!$E$17</f>
        <v>5</v>
      </c>
      <c r="L74" s="33" t="n">
        <f aca="false">$C74*Assumptions!$F$17</f>
        <v>5</v>
      </c>
      <c r="M74" s="33" t="n">
        <f aca="false">$C74*Assumptions!$G$17</f>
        <v>125</v>
      </c>
      <c r="O74" s="4" t="s">
        <v>219</v>
      </c>
      <c r="P74" s="31" t="n">
        <f aca="false">Assumptions!$C$11*Assumptions!$C$5*Assumptions!$C$6</f>
        <v>62.5</v>
      </c>
      <c r="T74" s="34"/>
      <c r="W74" s="33" t="n">
        <f aca="false">$P74*Assumptions!$C$18</f>
        <v>62.5</v>
      </c>
      <c r="X74" s="33" t="n">
        <f aca="false">$P74*Assumptions!$D$18</f>
        <v>62.5</v>
      </c>
      <c r="Y74" s="33" t="n">
        <f aca="false">$P74*Assumptions!$E$18</f>
        <v>0</v>
      </c>
      <c r="Z74" s="33" t="n">
        <f aca="false">$P74*Assumptions!$G$18</f>
        <v>125</v>
      </c>
    </row>
    <row r="75" customFormat="false" ht="15" hidden="false" customHeight="false" outlineLevel="0" collapsed="false">
      <c r="B75" s="4" t="s">
        <v>197</v>
      </c>
      <c r="C75" s="31" t="n">
        <f aca="false">Assumptions!$C$5</f>
        <v>100</v>
      </c>
      <c r="G75" s="34"/>
      <c r="J75" s="33" t="n">
        <f aca="false">$C75*Assumptions!$C$17</f>
        <v>100</v>
      </c>
      <c r="K75" s="33" t="n">
        <f aca="false">$C75*Assumptions!$D$17</f>
        <v>15</v>
      </c>
      <c r="L75" s="33" t="n">
        <f aca="false">$C75*Assumptions!$E$17</f>
        <v>5</v>
      </c>
      <c r="M75" s="33" t="n">
        <f aca="false">$C75*Assumptions!$G$17</f>
        <v>125</v>
      </c>
      <c r="O75" s="4" t="s">
        <v>220</v>
      </c>
      <c r="P75" s="31" t="n">
        <f aca="false">Assumptions!$C$11*Assumptions!$C$5*Assumptions!$C$6</f>
        <v>62.5</v>
      </c>
      <c r="T75" s="34"/>
      <c r="X75" s="33" t="n">
        <f aca="false">$P75*Assumptions!$C$18</f>
        <v>62.5</v>
      </c>
      <c r="Y75" s="33" t="n">
        <f aca="false">$P75*Assumptions!$D$18</f>
        <v>62.5</v>
      </c>
      <c r="Z75" s="33" t="n">
        <f aca="false">$P75*Assumptions!$G$18</f>
        <v>125</v>
      </c>
    </row>
    <row r="76" customFormat="false" ht="15" hidden="false" customHeight="false" outlineLevel="0" collapsed="false">
      <c r="B76" s="4" t="s">
        <v>199</v>
      </c>
      <c r="C76" s="31" t="n">
        <f aca="false">Assumptions!$C$5</f>
        <v>100</v>
      </c>
      <c r="G76" s="34"/>
      <c r="K76" s="33" t="n">
        <f aca="false">$C76*Assumptions!$C$17</f>
        <v>100</v>
      </c>
      <c r="L76" s="33" t="n">
        <f aca="false">$C76*Assumptions!$D$17</f>
        <v>15</v>
      </c>
      <c r="M76" s="33" t="n">
        <f aca="false">$C76*Assumptions!$G$17</f>
        <v>125</v>
      </c>
      <c r="O76" s="4" t="s">
        <v>221</v>
      </c>
      <c r="P76" s="31" t="n">
        <f aca="false">Assumptions!$C$11*Assumptions!$C$5*Assumptions!$C$6</f>
        <v>62.5</v>
      </c>
      <c r="T76" s="34"/>
      <c r="Y76" s="33" t="n">
        <f aca="false">$P76*Assumptions!$C$18</f>
        <v>62.5</v>
      </c>
      <c r="Z76" s="33" t="n">
        <f aca="false">$P76*Assumptions!$G$18</f>
        <v>125</v>
      </c>
    </row>
    <row r="77" customFormat="false" ht="15" hidden="false" customHeight="false" outlineLevel="0" collapsed="false">
      <c r="B77" s="4" t="s">
        <v>201</v>
      </c>
      <c r="C77" s="31" t="n">
        <f aca="false">Assumptions!$C$5</f>
        <v>100</v>
      </c>
      <c r="G77" s="34"/>
      <c r="L77" s="33" t="n">
        <f aca="false">$C77*Assumptions!$C$17</f>
        <v>100</v>
      </c>
      <c r="M77" s="33" t="n">
        <f aca="false">$C77*Assumptions!$G$17</f>
        <v>125</v>
      </c>
      <c r="O77" s="8" t="s">
        <v>203</v>
      </c>
      <c r="P77" s="8" t="s">
        <v>204</v>
      </c>
      <c r="Q77" s="13" t="n">
        <f aca="false">Q67+SUM(Q68:Q76)</f>
        <v>125</v>
      </c>
      <c r="R77" s="13" t="n">
        <f aca="false">R67+SUM(R68:R76)</f>
        <v>125</v>
      </c>
      <c r="S77" s="13" t="n">
        <f aca="false">S67+SUM(S68:S76)</f>
        <v>125</v>
      </c>
      <c r="T77" s="35" t="n">
        <f aca="false">T67+SUM(T68:T76)</f>
        <v>125</v>
      </c>
      <c r="U77" s="13" t="n">
        <f aca="false">U67+SUM(U68:U76)</f>
        <v>125</v>
      </c>
      <c r="V77" s="13" t="n">
        <f aca="false">V67+SUM(V68:V76)</f>
        <v>125</v>
      </c>
      <c r="W77" s="13" t="n">
        <f aca="false">W67+SUM(W68:W76)</f>
        <v>125</v>
      </c>
      <c r="X77" s="13" t="n">
        <f aca="false">X67+SUM(X68:X76)</f>
        <v>125</v>
      </c>
      <c r="Y77" s="13" t="n">
        <f aca="false">Y67+SUM(Y68:Y76)</f>
        <v>125</v>
      </c>
      <c r="Z77" s="13" t="n">
        <f aca="false">SUM(Z68:Z76)</f>
        <v>837.5</v>
      </c>
    </row>
    <row r="78" customFormat="false" ht="15" hidden="false" customHeight="false" outlineLevel="0" collapsed="false">
      <c r="B78" s="8" t="s">
        <v>203</v>
      </c>
      <c r="C78" s="8" t="s">
        <v>204</v>
      </c>
      <c r="D78" s="13" t="n">
        <f aca="false">D67+SUM(D68:D77)</f>
        <v>125</v>
      </c>
      <c r="E78" s="13" t="n">
        <f aca="false">E67+SUM(E68:E77)</f>
        <v>128.75</v>
      </c>
      <c r="F78" s="13" t="n">
        <f aca="false">F67+SUM(F68:F77)</f>
        <v>130</v>
      </c>
      <c r="G78" s="35" t="n">
        <f aca="false">G67+SUM(G68:G77)</f>
        <v>131.25</v>
      </c>
      <c r="H78" s="13" t="n">
        <f aca="false">H67+SUM(H68:H77)</f>
        <v>127.5</v>
      </c>
      <c r="I78" s="13" t="n">
        <f aca="false">I67+SUM(I68:I77)</f>
        <v>126.25</v>
      </c>
      <c r="J78" s="13" t="n">
        <f aca="false">J67+SUM(J68:J77)</f>
        <v>125</v>
      </c>
      <c r="K78" s="13" t="n">
        <f aca="false">K67+SUM(K68:K77)</f>
        <v>125</v>
      </c>
      <c r="L78" s="13" t="n">
        <f aca="false">L67+SUM(L68:L77)</f>
        <v>125</v>
      </c>
      <c r="M78" s="13" t="n">
        <f aca="false">SUM(M68:M77)</f>
        <v>833.75</v>
      </c>
      <c r="O78" s="2" t="s">
        <v>205</v>
      </c>
      <c r="Q78" s="37" t="n">
        <f aca="false">Q77/Q66</f>
        <v>1</v>
      </c>
      <c r="R78" s="37" t="n">
        <f aca="false">R77/R66</f>
        <v>1</v>
      </c>
      <c r="S78" s="37" t="n">
        <f aca="false">S77/S66</f>
        <v>1</v>
      </c>
      <c r="T78" s="36" t="n">
        <f aca="false">T77/T66</f>
        <v>1</v>
      </c>
      <c r="U78" s="37" t="n">
        <f aca="false">U77/U66</f>
        <v>1</v>
      </c>
      <c r="V78" s="37" t="n">
        <f aca="false">V77/V66</f>
        <v>1</v>
      </c>
      <c r="W78" s="37" t="n">
        <f aca="false">W77/W66</f>
        <v>1</v>
      </c>
      <c r="X78" s="37" t="n">
        <f aca="false">X77/X66</f>
        <v>1</v>
      </c>
      <c r="Y78" s="37" t="n">
        <f aca="false">Y77/Y66</f>
        <v>1</v>
      </c>
    </row>
    <row r="79" customFormat="false" ht="15" hidden="false" customHeight="false" outlineLevel="0" collapsed="false">
      <c r="B79" s="2" t="s">
        <v>205</v>
      </c>
      <c r="D79" s="37" t="n">
        <f aca="false">D78/D66</f>
        <v>1</v>
      </c>
      <c r="E79" s="37" t="n">
        <f aca="false">E78/E66</f>
        <v>1.03</v>
      </c>
      <c r="F79" s="37" t="n">
        <f aca="false">F78/F66</f>
        <v>1.04</v>
      </c>
      <c r="G79" s="36" t="n">
        <f aca="false">G78/G66</f>
        <v>1.05</v>
      </c>
      <c r="H79" s="37" t="n">
        <f aca="false">H78/H66</f>
        <v>1.02</v>
      </c>
      <c r="I79" s="37" t="n">
        <f aca="false">I78/I66</f>
        <v>1.01</v>
      </c>
      <c r="J79" s="37" t="n">
        <f aca="false">J78/J66</f>
        <v>1</v>
      </c>
      <c r="K79" s="37" t="n">
        <f aca="false">K78/K66</f>
        <v>1</v>
      </c>
      <c r="L79" s="37" t="n">
        <f aca="false">L78/L66</f>
        <v>1</v>
      </c>
      <c r="O79" s="2" t="s">
        <v>206</v>
      </c>
      <c r="Q79" s="39" t="n">
        <f aca="false">Q77-Assumptions!$C$5</f>
        <v>25</v>
      </c>
      <c r="R79" s="39" t="n">
        <f aca="false">R77-Q77</f>
        <v>0</v>
      </c>
      <c r="S79" s="39" t="n">
        <f aca="false">S77-R77</f>
        <v>0</v>
      </c>
      <c r="T79" s="38" t="n">
        <f aca="false">T77-S77</f>
        <v>0</v>
      </c>
      <c r="U79" s="39" t="n">
        <f aca="false">U77-T77</f>
        <v>0</v>
      </c>
      <c r="V79" s="39" t="n">
        <f aca="false">V77-U77</f>
        <v>0</v>
      </c>
      <c r="W79" s="39" t="n">
        <f aca="false">W77-V77</f>
        <v>0</v>
      </c>
      <c r="X79" s="39" t="n">
        <f aca="false">X77-W77</f>
        <v>0</v>
      </c>
      <c r="Y79" s="39" t="n">
        <f aca="false">Y77-X77</f>
        <v>0</v>
      </c>
    </row>
    <row r="80" customFormat="false" ht="15" hidden="false" customHeight="false" outlineLevel="0" collapsed="false">
      <c r="B80" s="2" t="s">
        <v>206</v>
      </c>
      <c r="D80" s="39" t="n">
        <f aca="false">D78-Assumptions!$C$5</f>
        <v>25</v>
      </c>
      <c r="E80" s="39" t="n">
        <f aca="false">E78-D78</f>
        <v>3.75</v>
      </c>
      <c r="F80" s="39" t="n">
        <f aca="false">F78-E78</f>
        <v>1.25</v>
      </c>
      <c r="G80" s="38" t="n">
        <f aca="false">G78-F78</f>
        <v>1.25</v>
      </c>
      <c r="H80" s="39" t="n">
        <f aca="false">H78-G78</f>
        <v>-3.75</v>
      </c>
      <c r="I80" s="39" t="n">
        <f aca="false">I78-H78</f>
        <v>-1.25</v>
      </c>
      <c r="J80" s="39" t="n">
        <f aca="false">J78-I78</f>
        <v>-1.25</v>
      </c>
      <c r="K80" s="39" t="n">
        <f aca="false">K78-J78</f>
        <v>0</v>
      </c>
      <c r="L80" s="39" t="n">
        <f aca="false">L78-K78</f>
        <v>0</v>
      </c>
      <c r="T80" s="34"/>
    </row>
    <row r="81" customFormat="false" ht="15" hidden="false" customHeight="false" outlineLevel="0" collapsed="false">
      <c r="G81" s="34"/>
    </row>
    <row r="84" customFormat="false" ht="15" hidden="false" customHeight="false" outlineLevel="0" collapsed="false">
      <c r="B84" s="3" t="s">
        <v>227</v>
      </c>
    </row>
    <row r="85" customFormat="false" ht="15" hidden="false" customHeight="false" outlineLevel="0" collapsed="false">
      <c r="B85" s="5" t="s">
        <v>180</v>
      </c>
      <c r="C85" s="7" t="s">
        <v>181</v>
      </c>
      <c r="D85" s="7" t="s">
        <v>91</v>
      </c>
      <c r="E85" s="7" t="s">
        <v>92</v>
      </c>
      <c r="F85" s="7" t="s">
        <v>93</v>
      </c>
      <c r="G85" s="7" t="s">
        <v>94</v>
      </c>
      <c r="H85" s="7" t="s">
        <v>95</v>
      </c>
      <c r="I85" s="7" t="s">
        <v>96</v>
      </c>
      <c r="J85" s="7" t="s">
        <v>97</v>
      </c>
      <c r="K85" s="7" t="s">
        <v>98</v>
      </c>
      <c r="L85" s="7" t="s">
        <v>99</v>
      </c>
      <c r="M85" s="7" t="s">
        <v>100</v>
      </c>
      <c r="O85" s="25" t="s">
        <v>182</v>
      </c>
      <c r="P85" s="26" t="s">
        <v>181</v>
      </c>
      <c r="Q85" s="26" t="s">
        <v>91</v>
      </c>
      <c r="R85" s="26" t="s">
        <v>92</v>
      </c>
      <c r="S85" s="26" t="s">
        <v>93</v>
      </c>
      <c r="T85" s="26" t="s">
        <v>94</v>
      </c>
      <c r="U85" s="26" t="s">
        <v>95</v>
      </c>
      <c r="V85" s="26" t="s">
        <v>96</v>
      </c>
      <c r="W85" s="26" t="s">
        <v>97</v>
      </c>
      <c r="X85" s="26" t="s">
        <v>98</v>
      </c>
      <c r="Y85" s="26" t="s">
        <v>99</v>
      </c>
      <c r="Z85" s="26" t="s">
        <v>100</v>
      </c>
    </row>
    <row r="86" customFormat="false" ht="15" hidden="false" customHeight="false" outlineLevel="0" collapsed="false">
      <c r="B86" s="2" t="s">
        <v>183</v>
      </c>
      <c r="D86" s="28" t="n">
        <f aca="false">Assumptions!$C$5*Assumptions!$C$6</f>
        <v>125</v>
      </c>
      <c r="E86" s="28" t="n">
        <f aca="false">Assumptions!$C$5*Assumptions!$C$6</f>
        <v>125</v>
      </c>
      <c r="F86" s="28" t="n">
        <f aca="false">Assumptions!$C$5*Assumptions!$C$6</f>
        <v>125</v>
      </c>
      <c r="G86" s="27" t="n">
        <f aca="false">Assumptions!$C$5*Assumptions!$C$6</f>
        <v>125</v>
      </c>
      <c r="H86" s="28" t="n">
        <f aca="false">Assumptions!$C$5*Assumptions!$C$6</f>
        <v>125</v>
      </c>
      <c r="I86" s="28" t="n">
        <f aca="false">Assumptions!$C$5*Assumptions!$C$6</f>
        <v>125</v>
      </c>
      <c r="J86" s="28" t="n">
        <f aca="false">Assumptions!$C$5*Assumptions!$C$6</f>
        <v>125</v>
      </c>
      <c r="K86" s="28" t="n">
        <f aca="false">Assumptions!$C$5*Assumptions!$C$6</f>
        <v>125</v>
      </c>
      <c r="L86" s="28" t="n">
        <f aca="false">Assumptions!$C$5*Assumptions!$C$6</f>
        <v>125</v>
      </c>
      <c r="O86" s="2" t="s">
        <v>183</v>
      </c>
      <c r="Q86" s="28" t="n">
        <f aca="false">Assumptions!$C$5*Assumptions!$C$6</f>
        <v>125</v>
      </c>
      <c r="R86" s="28" t="n">
        <f aca="false">Assumptions!$C$5*Assumptions!$C$6</f>
        <v>125</v>
      </c>
      <c r="S86" s="28" t="n">
        <f aca="false">Assumptions!$C$5*Assumptions!$C$6</f>
        <v>125</v>
      </c>
      <c r="T86" s="27" t="n">
        <f aca="false">Assumptions!$C$5*Assumptions!$C$6</f>
        <v>125</v>
      </c>
      <c r="U86" s="28" t="n">
        <f aca="false">Assumptions!$C$5*Assumptions!$C$6</f>
        <v>125</v>
      </c>
      <c r="V86" s="28" t="n">
        <f aca="false">Assumptions!$C$5*Assumptions!$C$6</f>
        <v>125</v>
      </c>
      <c r="W86" s="28" t="n">
        <f aca="false">Assumptions!$C$5*Assumptions!$C$6</f>
        <v>125</v>
      </c>
      <c r="X86" s="28" t="n">
        <f aca="false">Assumptions!$C$5*Assumptions!$C$6</f>
        <v>125</v>
      </c>
      <c r="Y86" s="28" t="n">
        <f aca="false">Assumptions!$C$5*Assumptions!$C$6</f>
        <v>125</v>
      </c>
    </row>
    <row r="87" customFormat="false" ht="15" hidden="false" customHeight="false" outlineLevel="0" collapsed="false">
      <c r="B87" s="4" t="s">
        <v>184</v>
      </c>
      <c r="D87" s="30" t="n">
        <v>100</v>
      </c>
      <c r="E87" s="30" t="n">
        <v>100</v>
      </c>
      <c r="F87" s="30" t="n">
        <v>100</v>
      </c>
      <c r="G87" s="29" t="n">
        <v>75</v>
      </c>
      <c r="H87" s="30" t="n">
        <v>0</v>
      </c>
      <c r="I87" s="30" t="n">
        <v>0</v>
      </c>
      <c r="J87" s="30" t="n">
        <v>0</v>
      </c>
      <c r="K87" s="30" t="n">
        <v>0</v>
      </c>
      <c r="L87" s="30" t="n">
        <v>0</v>
      </c>
      <c r="O87" s="4" t="s">
        <v>184</v>
      </c>
      <c r="Q87" s="30" t="n">
        <v>100</v>
      </c>
      <c r="R87" s="30" t="n">
        <v>100</v>
      </c>
      <c r="S87" s="30" t="n">
        <v>100</v>
      </c>
      <c r="T87" s="29" t="n">
        <v>75</v>
      </c>
      <c r="U87" s="30" t="n">
        <v>0</v>
      </c>
      <c r="V87" s="30" t="n">
        <v>0</v>
      </c>
      <c r="W87" s="30" t="n">
        <v>0</v>
      </c>
      <c r="X87" s="30" t="n">
        <v>0</v>
      </c>
      <c r="Y87" s="30" t="n">
        <v>0</v>
      </c>
    </row>
    <row r="88" customFormat="false" ht="15" hidden="false" customHeight="false" outlineLevel="0" collapsed="false">
      <c r="B88" s="4" t="s">
        <v>208</v>
      </c>
      <c r="C88" s="31" t="n">
        <f aca="false">MAX(Assumptions!$C$5*Assumptions!$C$12,D86-(D87))</f>
        <v>25</v>
      </c>
      <c r="D88" s="33" t="n">
        <f aca="false">$C88*Assumptions!$C$23</f>
        <v>25</v>
      </c>
      <c r="E88" s="33" t="n">
        <f aca="false">$C88*Assumptions!$D$23</f>
        <v>3.75</v>
      </c>
      <c r="F88" s="33" t="n">
        <f aca="false">$C88*Assumptions!$E$23</f>
        <v>1.25</v>
      </c>
      <c r="G88" s="32" t="n">
        <f aca="false">$C88*Assumptions!$F$23</f>
        <v>1.25</v>
      </c>
      <c r="M88" s="33" t="n">
        <f aca="false">$C88*Assumptions!$G$23</f>
        <v>31.25</v>
      </c>
      <c r="O88" s="4" t="s">
        <v>209</v>
      </c>
      <c r="P88" s="31" t="n">
        <f aca="false">MAX(Assumptions!$C$5*Assumptions!$C$12,Q86-(Q87))</f>
        <v>25</v>
      </c>
      <c r="Q88" s="33" t="n">
        <f aca="false">$P88*Assumptions!$C$21</f>
        <v>25</v>
      </c>
      <c r="R88" s="33" t="n">
        <f aca="false">$P88*Assumptions!$D$21</f>
        <v>0</v>
      </c>
      <c r="S88" s="33" t="n">
        <f aca="false">$P88*Assumptions!$E$21</f>
        <v>0</v>
      </c>
      <c r="T88" s="32" t="n">
        <f aca="false">$P88*Assumptions!$F$21</f>
        <v>0</v>
      </c>
      <c r="Z88" s="33" t="n">
        <f aca="false">$P88*Assumptions!$G$21</f>
        <v>25</v>
      </c>
    </row>
    <row r="89" customFormat="false" ht="15" hidden="false" customHeight="false" outlineLevel="0" collapsed="false">
      <c r="B89" s="4" t="s">
        <v>210</v>
      </c>
      <c r="C89" s="31" t="n">
        <f aca="false">MAX(Assumptions!$C$5*Assumptions!$C$12,E86-(E87))</f>
        <v>25</v>
      </c>
      <c r="E89" s="33" t="n">
        <f aca="false">$C89*Assumptions!$C$23</f>
        <v>25</v>
      </c>
      <c r="F89" s="33" t="n">
        <f aca="false">$C89*Assumptions!$D$23</f>
        <v>3.75</v>
      </c>
      <c r="G89" s="32" t="n">
        <f aca="false">$C89*Assumptions!$E$23</f>
        <v>1.25</v>
      </c>
      <c r="H89" s="33" t="n">
        <f aca="false">$C89*Assumptions!$F$23</f>
        <v>1.25</v>
      </c>
      <c r="M89" s="33" t="n">
        <f aca="false">$C89*Assumptions!$G$23</f>
        <v>31.25</v>
      </c>
      <c r="O89" s="4" t="s">
        <v>211</v>
      </c>
      <c r="P89" s="31" t="n">
        <f aca="false">MAX(Assumptions!$C$5*Assumptions!$C$12,R86-(R87))</f>
        <v>25</v>
      </c>
      <c r="R89" s="33" t="n">
        <f aca="false">$P89*Assumptions!$C$21</f>
        <v>25</v>
      </c>
      <c r="S89" s="33" t="n">
        <f aca="false">$P89*Assumptions!$D$21</f>
        <v>0</v>
      </c>
      <c r="T89" s="32" t="n">
        <f aca="false">$P89*Assumptions!$E$21</f>
        <v>0</v>
      </c>
      <c r="U89" s="33" t="n">
        <f aca="false">$P89*Assumptions!$F$21</f>
        <v>0</v>
      </c>
      <c r="Z89" s="33" t="n">
        <f aca="false">$P89*Assumptions!$G$21</f>
        <v>25</v>
      </c>
    </row>
    <row r="90" customFormat="false" ht="15" hidden="false" customHeight="false" outlineLevel="0" collapsed="false">
      <c r="B90" s="4" t="s">
        <v>212</v>
      </c>
      <c r="C90" s="31" t="n">
        <f aca="false">MAX(Assumptions!$C$5*Assumptions!$C$12,F86-(F87))</f>
        <v>25</v>
      </c>
      <c r="F90" s="33" t="n">
        <f aca="false">$C90*Assumptions!$C$23</f>
        <v>25</v>
      </c>
      <c r="G90" s="32" t="n">
        <f aca="false">$C90*Assumptions!$D$23</f>
        <v>3.75</v>
      </c>
      <c r="H90" s="33" t="n">
        <f aca="false">$C90*Assumptions!$E$23</f>
        <v>1.25</v>
      </c>
      <c r="I90" s="33" t="n">
        <f aca="false">$C90*Assumptions!$F$23</f>
        <v>1.25</v>
      </c>
      <c r="M90" s="33" t="n">
        <f aca="false">$C90*Assumptions!$G$23</f>
        <v>31.25</v>
      </c>
      <c r="O90" s="4" t="s">
        <v>213</v>
      </c>
      <c r="P90" s="31" t="n">
        <f aca="false">MAX(Assumptions!$C$5*Assumptions!$C$12,S86-(S87))</f>
        <v>25</v>
      </c>
      <c r="S90" s="33" t="n">
        <f aca="false">$P90*Assumptions!$C$21</f>
        <v>25</v>
      </c>
      <c r="T90" s="32" t="n">
        <f aca="false">$P90*Assumptions!$D$21</f>
        <v>0</v>
      </c>
      <c r="U90" s="33" t="n">
        <f aca="false">$P90*Assumptions!$E$21</f>
        <v>0</v>
      </c>
      <c r="V90" s="33" t="n">
        <f aca="false">$P90*Assumptions!$F$21</f>
        <v>0</v>
      </c>
      <c r="Z90" s="33" t="n">
        <f aca="false">$P90*Assumptions!$G$21</f>
        <v>25</v>
      </c>
    </row>
    <row r="91" customFormat="false" ht="15" hidden="false" customHeight="false" outlineLevel="0" collapsed="false">
      <c r="B91" s="4" t="s">
        <v>214</v>
      </c>
      <c r="C91" s="31" t="n">
        <f aca="false">MAX(Assumptions!$C$5*Assumptions!$C$12,G86-(G87))</f>
        <v>50</v>
      </c>
      <c r="G91" s="32" t="n">
        <f aca="false">$C91*Assumptions!$C$21</f>
        <v>50</v>
      </c>
      <c r="H91" s="33" t="n">
        <f aca="false">$C91*Assumptions!$D$21</f>
        <v>0</v>
      </c>
      <c r="I91" s="33" t="n">
        <f aca="false">$C91*Assumptions!$E$21</f>
        <v>0</v>
      </c>
      <c r="J91" s="33" t="n">
        <f aca="false">$C91*Assumptions!$F$21</f>
        <v>0</v>
      </c>
      <c r="M91" s="33" t="n">
        <f aca="false">$C91*Assumptions!$G$21</f>
        <v>50</v>
      </c>
      <c r="O91" s="4" t="s">
        <v>223</v>
      </c>
      <c r="P91" s="31" t="n">
        <f aca="false">MAX(Assumptions!$C$5*Assumptions!$C$12,T86-(T87))</f>
        <v>50</v>
      </c>
      <c r="T91" s="32" t="n">
        <f aca="false">$P91*Assumptions!$C$21</f>
        <v>50</v>
      </c>
      <c r="U91" s="33" t="n">
        <f aca="false">$P91*Assumptions!$D$21</f>
        <v>0</v>
      </c>
      <c r="V91" s="33" t="n">
        <f aca="false">$P91*Assumptions!$E$21</f>
        <v>0</v>
      </c>
      <c r="W91" s="33" t="n">
        <f aca="false">$P91*Assumptions!$F$21</f>
        <v>0</v>
      </c>
      <c r="Z91" s="33" t="n">
        <f aca="false">$P91*Assumptions!$G$21</f>
        <v>50</v>
      </c>
    </row>
    <row r="92" customFormat="false" ht="15" hidden="false" customHeight="false" outlineLevel="0" collapsed="false">
      <c r="B92" s="4" t="s">
        <v>216</v>
      </c>
      <c r="C92" s="31" t="n">
        <f aca="false">Assumptions!$C$5</f>
        <v>100</v>
      </c>
      <c r="G92" s="32" t="n">
        <f aca="false">$C92*Assumptions!$C$22</f>
        <v>0</v>
      </c>
      <c r="H92" s="33" t="n">
        <f aca="false">$C92*Assumptions!$D$22</f>
        <v>25</v>
      </c>
      <c r="I92" s="33" t="n">
        <f aca="false">$C92*Assumptions!$E$22</f>
        <v>10</v>
      </c>
      <c r="J92" s="33" t="n">
        <f aca="false">$C92*Assumptions!$F$22</f>
        <v>5</v>
      </c>
      <c r="M92" s="33" t="n">
        <f aca="false">$C92*Assumptions!$G$22</f>
        <v>40</v>
      </c>
      <c r="O92" s="4" t="s">
        <v>226</v>
      </c>
      <c r="P92" s="31" t="n">
        <f aca="false">Assumptions!$C$5*Assumptions!$C$6</f>
        <v>125</v>
      </c>
      <c r="T92" s="32" t="n">
        <f aca="false">$P92*Assumptions!$C$20</f>
        <v>0</v>
      </c>
      <c r="U92" s="33" t="n">
        <f aca="false">$P92*Assumptions!$D$20</f>
        <v>125</v>
      </c>
      <c r="V92" s="33" t="n">
        <f aca="false">$P92*Assumptions!$E$20</f>
        <v>62.5</v>
      </c>
      <c r="W92" s="33" t="n">
        <f aca="false">$P92*Assumptions!$F$20</f>
        <v>0</v>
      </c>
      <c r="Z92" s="33" t="n">
        <f aca="false">$P92*Assumptions!$G$20</f>
        <v>187.5</v>
      </c>
    </row>
    <row r="93" customFormat="false" ht="15" hidden="false" customHeight="false" outlineLevel="0" collapsed="false">
      <c r="B93" s="4" t="s">
        <v>193</v>
      </c>
      <c r="C93" s="31" t="n">
        <f aca="false">Assumptions!$C$5</f>
        <v>100</v>
      </c>
      <c r="G93" s="34"/>
      <c r="H93" s="33" t="n">
        <f aca="false">$C93*Assumptions!$C$17</f>
        <v>100</v>
      </c>
      <c r="I93" s="33" t="n">
        <f aca="false">$C93*Assumptions!$D$17</f>
        <v>15</v>
      </c>
      <c r="J93" s="33" t="n">
        <f aca="false">$C93*Assumptions!$E$17</f>
        <v>5</v>
      </c>
      <c r="K93" s="33" t="n">
        <f aca="false">$C93*Assumptions!$F$17</f>
        <v>5</v>
      </c>
      <c r="M93" s="33" t="n">
        <f aca="false">$C93*Assumptions!$G$17</f>
        <v>125</v>
      </c>
      <c r="O93" s="4" t="s">
        <v>218</v>
      </c>
      <c r="P93" s="31" t="n">
        <f aca="false">Assumptions!$C$11*Assumptions!$C$5*Assumptions!$C$6</f>
        <v>62.5</v>
      </c>
      <c r="T93" s="34"/>
      <c r="V93" s="33" t="n">
        <f aca="false">$P93*Assumptions!$C$18</f>
        <v>62.5</v>
      </c>
      <c r="W93" s="33" t="n">
        <f aca="false">$P93*Assumptions!$D$18</f>
        <v>62.5</v>
      </c>
      <c r="X93" s="33" t="n">
        <f aca="false">$P93*Assumptions!$E$18</f>
        <v>0</v>
      </c>
      <c r="Y93" s="33" t="n">
        <f aca="false">$P93*Assumptions!$F$18</f>
        <v>0</v>
      </c>
      <c r="Z93" s="33" t="n">
        <f aca="false">$P93*Assumptions!$G$18</f>
        <v>125</v>
      </c>
    </row>
    <row r="94" customFormat="false" ht="15" hidden="false" customHeight="false" outlineLevel="0" collapsed="false">
      <c r="B94" s="4" t="s">
        <v>195</v>
      </c>
      <c r="C94" s="31" t="n">
        <f aca="false">Assumptions!$C$5</f>
        <v>100</v>
      </c>
      <c r="G94" s="34"/>
      <c r="I94" s="33" t="n">
        <f aca="false">$C94*Assumptions!$C$17</f>
        <v>100</v>
      </c>
      <c r="J94" s="33" t="n">
        <f aca="false">$C94*Assumptions!$D$17</f>
        <v>15</v>
      </c>
      <c r="K94" s="33" t="n">
        <f aca="false">$C94*Assumptions!$E$17</f>
        <v>5</v>
      </c>
      <c r="L94" s="33" t="n">
        <f aca="false">$C94*Assumptions!$F$17</f>
        <v>5</v>
      </c>
      <c r="M94" s="33" t="n">
        <f aca="false">$C94*Assumptions!$G$17</f>
        <v>125</v>
      </c>
      <c r="O94" s="4" t="s">
        <v>219</v>
      </c>
      <c r="P94" s="31" t="n">
        <f aca="false">Assumptions!$C$11*Assumptions!$C$5*Assumptions!$C$6</f>
        <v>62.5</v>
      </c>
      <c r="T94" s="34"/>
      <c r="W94" s="33" t="n">
        <f aca="false">$P94*Assumptions!$C$18</f>
        <v>62.5</v>
      </c>
      <c r="X94" s="33" t="n">
        <f aca="false">$P94*Assumptions!$D$18</f>
        <v>62.5</v>
      </c>
      <c r="Y94" s="33" t="n">
        <f aca="false">$P94*Assumptions!$E$18</f>
        <v>0</v>
      </c>
      <c r="Z94" s="33" t="n">
        <f aca="false">$P94*Assumptions!$G$18</f>
        <v>125</v>
      </c>
    </row>
    <row r="95" customFormat="false" ht="15" hidden="false" customHeight="false" outlineLevel="0" collapsed="false">
      <c r="B95" s="4" t="s">
        <v>197</v>
      </c>
      <c r="C95" s="31" t="n">
        <f aca="false">Assumptions!$C$5</f>
        <v>100</v>
      </c>
      <c r="G95" s="34"/>
      <c r="J95" s="33" t="n">
        <f aca="false">$C95*Assumptions!$C$17</f>
        <v>100</v>
      </c>
      <c r="K95" s="33" t="n">
        <f aca="false">$C95*Assumptions!$D$17</f>
        <v>15</v>
      </c>
      <c r="L95" s="33" t="n">
        <f aca="false">$C95*Assumptions!$E$17</f>
        <v>5</v>
      </c>
      <c r="M95" s="33" t="n">
        <f aca="false">$C95*Assumptions!$G$17</f>
        <v>125</v>
      </c>
      <c r="O95" s="4" t="s">
        <v>220</v>
      </c>
      <c r="P95" s="31" t="n">
        <f aca="false">Assumptions!$C$11*Assumptions!$C$5*Assumptions!$C$6</f>
        <v>62.5</v>
      </c>
      <c r="T95" s="34"/>
      <c r="X95" s="33" t="n">
        <f aca="false">$P95*Assumptions!$C$18</f>
        <v>62.5</v>
      </c>
      <c r="Y95" s="33" t="n">
        <f aca="false">$P95*Assumptions!$D$18</f>
        <v>62.5</v>
      </c>
      <c r="Z95" s="33" t="n">
        <f aca="false">$P95*Assumptions!$G$18</f>
        <v>125</v>
      </c>
    </row>
    <row r="96" customFormat="false" ht="15" hidden="false" customHeight="false" outlineLevel="0" collapsed="false">
      <c r="B96" s="4" t="s">
        <v>199</v>
      </c>
      <c r="C96" s="31" t="n">
        <f aca="false">Assumptions!$C$5</f>
        <v>100</v>
      </c>
      <c r="G96" s="34"/>
      <c r="K96" s="33" t="n">
        <f aca="false">$C96*Assumptions!$C$17</f>
        <v>100</v>
      </c>
      <c r="L96" s="33" t="n">
        <f aca="false">$C96*Assumptions!$D$17</f>
        <v>15</v>
      </c>
      <c r="M96" s="33" t="n">
        <f aca="false">$C96*Assumptions!$G$17</f>
        <v>125</v>
      </c>
      <c r="O96" s="4" t="s">
        <v>221</v>
      </c>
      <c r="P96" s="31" t="n">
        <f aca="false">Assumptions!$C$11*Assumptions!$C$5*Assumptions!$C$6</f>
        <v>62.5</v>
      </c>
      <c r="T96" s="34"/>
      <c r="Y96" s="33" t="n">
        <f aca="false">$P96*Assumptions!$C$18</f>
        <v>62.5</v>
      </c>
      <c r="Z96" s="33" t="n">
        <f aca="false">$P96*Assumptions!$G$18</f>
        <v>125</v>
      </c>
    </row>
    <row r="97" customFormat="false" ht="15" hidden="false" customHeight="false" outlineLevel="0" collapsed="false">
      <c r="B97" s="4" t="s">
        <v>201</v>
      </c>
      <c r="C97" s="31" t="n">
        <f aca="false">Assumptions!$C$5</f>
        <v>100</v>
      </c>
      <c r="G97" s="34"/>
      <c r="L97" s="33" t="n">
        <f aca="false">$C97*Assumptions!$C$17</f>
        <v>100</v>
      </c>
      <c r="M97" s="33" t="n">
        <f aca="false">$C97*Assumptions!$G$17</f>
        <v>125</v>
      </c>
      <c r="O97" s="8" t="s">
        <v>203</v>
      </c>
      <c r="P97" s="8" t="s">
        <v>204</v>
      </c>
      <c r="Q97" s="13" t="n">
        <f aca="false">Q87+SUM(Q88:Q96)</f>
        <v>125</v>
      </c>
      <c r="R97" s="13" t="n">
        <f aca="false">R87+SUM(R88:R96)</f>
        <v>125</v>
      </c>
      <c r="S97" s="13" t="n">
        <f aca="false">S87+SUM(S88:S96)</f>
        <v>125</v>
      </c>
      <c r="T97" s="35" t="n">
        <f aca="false">T87+SUM(T88:T96)</f>
        <v>125</v>
      </c>
      <c r="U97" s="13" t="n">
        <f aca="false">U87+SUM(U88:U96)</f>
        <v>125</v>
      </c>
      <c r="V97" s="13" t="n">
        <f aca="false">V87+SUM(V88:V96)</f>
        <v>125</v>
      </c>
      <c r="W97" s="13" t="n">
        <f aca="false">W87+SUM(W88:W96)</f>
        <v>125</v>
      </c>
      <c r="X97" s="13" t="n">
        <f aca="false">X87+SUM(X88:X96)</f>
        <v>125</v>
      </c>
      <c r="Y97" s="13" t="n">
        <f aca="false">Y87+SUM(Y88:Y96)</f>
        <v>125</v>
      </c>
      <c r="Z97" s="13" t="n">
        <f aca="false">SUM(Z88:Z96)</f>
        <v>812.5</v>
      </c>
    </row>
    <row r="98" customFormat="false" ht="15" hidden="false" customHeight="false" outlineLevel="0" collapsed="false">
      <c r="B98" s="8" t="s">
        <v>203</v>
      </c>
      <c r="C98" s="8" t="s">
        <v>204</v>
      </c>
      <c r="D98" s="13" t="n">
        <f aca="false">D87+SUM(D88:D97)</f>
        <v>125</v>
      </c>
      <c r="E98" s="13" t="n">
        <f aca="false">E87+SUM(E88:E97)</f>
        <v>128.75</v>
      </c>
      <c r="F98" s="13" t="n">
        <f aca="false">F87+SUM(F88:F97)</f>
        <v>130</v>
      </c>
      <c r="G98" s="35" t="n">
        <f aca="false">G87+SUM(G88:G97)</f>
        <v>131.25</v>
      </c>
      <c r="H98" s="13" t="n">
        <f aca="false">H87+SUM(H88:H97)</f>
        <v>127.5</v>
      </c>
      <c r="I98" s="13" t="n">
        <f aca="false">I87+SUM(I88:I97)</f>
        <v>126.25</v>
      </c>
      <c r="J98" s="13" t="n">
        <f aca="false">J87+SUM(J88:J97)</f>
        <v>125</v>
      </c>
      <c r="K98" s="13" t="n">
        <f aca="false">K87+SUM(K88:K97)</f>
        <v>125</v>
      </c>
      <c r="L98" s="13" t="n">
        <f aca="false">L87+SUM(L88:L97)</f>
        <v>125</v>
      </c>
      <c r="M98" s="13" t="n">
        <f aca="false">SUM(M88:M97)</f>
        <v>808.75</v>
      </c>
      <c r="O98" s="2" t="s">
        <v>205</v>
      </c>
      <c r="Q98" s="37" t="n">
        <f aca="false">Q97/Q86</f>
        <v>1</v>
      </c>
      <c r="R98" s="37" t="n">
        <f aca="false">R97/R86</f>
        <v>1</v>
      </c>
      <c r="S98" s="37" t="n">
        <f aca="false">S97/S86</f>
        <v>1</v>
      </c>
      <c r="T98" s="36" t="n">
        <f aca="false">T97/T86</f>
        <v>1</v>
      </c>
      <c r="U98" s="37" t="n">
        <f aca="false">U97/U86</f>
        <v>1</v>
      </c>
      <c r="V98" s="37" t="n">
        <f aca="false">V97/V86</f>
        <v>1</v>
      </c>
      <c r="W98" s="37" t="n">
        <f aca="false">W97/W86</f>
        <v>1</v>
      </c>
      <c r="X98" s="37" t="n">
        <f aca="false">X97/X86</f>
        <v>1</v>
      </c>
      <c r="Y98" s="37" t="n">
        <f aca="false">Y97/Y86</f>
        <v>1</v>
      </c>
    </row>
    <row r="99" customFormat="false" ht="15" hidden="false" customHeight="false" outlineLevel="0" collapsed="false">
      <c r="B99" s="2" t="s">
        <v>205</v>
      </c>
      <c r="D99" s="37" t="n">
        <f aca="false">D98/D86</f>
        <v>1</v>
      </c>
      <c r="E99" s="37" t="n">
        <f aca="false">E98/E86</f>
        <v>1.03</v>
      </c>
      <c r="F99" s="37" t="n">
        <f aca="false">F98/F86</f>
        <v>1.04</v>
      </c>
      <c r="G99" s="36" t="n">
        <f aca="false">G98/G86</f>
        <v>1.05</v>
      </c>
      <c r="H99" s="37" t="n">
        <f aca="false">H98/H86</f>
        <v>1.02</v>
      </c>
      <c r="I99" s="37" t="n">
        <f aca="false">I98/I86</f>
        <v>1.01</v>
      </c>
      <c r="J99" s="37" t="n">
        <f aca="false">J98/J86</f>
        <v>1</v>
      </c>
      <c r="K99" s="37" t="n">
        <f aca="false">K98/K86</f>
        <v>1</v>
      </c>
      <c r="L99" s="37" t="n">
        <f aca="false">L98/L86</f>
        <v>1</v>
      </c>
      <c r="O99" s="2" t="s">
        <v>206</v>
      </c>
      <c r="Q99" s="39" t="n">
        <f aca="false">Q97-Assumptions!$C$5</f>
        <v>25</v>
      </c>
      <c r="R99" s="39" t="n">
        <f aca="false">R97-Q97</f>
        <v>0</v>
      </c>
      <c r="S99" s="39" t="n">
        <f aca="false">S97-R97</f>
        <v>0</v>
      </c>
      <c r="T99" s="38" t="n">
        <f aca="false">T97-S97</f>
        <v>0</v>
      </c>
      <c r="U99" s="39" t="n">
        <f aca="false">U97-T97</f>
        <v>0</v>
      </c>
      <c r="V99" s="39" t="n">
        <f aca="false">V97-U97</f>
        <v>0</v>
      </c>
      <c r="W99" s="39" t="n">
        <f aca="false">W97-V97</f>
        <v>0</v>
      </c>
      <c r="X99" s="39" t="n">
        <f aca="false">X97-W97</f>
        <v>0</v>
      </c>
      <c r="Y99" s="39" t="n">
        <f aca="false">Y97-X97</f>
        <v>0</v>
      </c>
    </row>
    <row r="100" customFormat="false" ht="15" hidden="false" customHeight="false" outlineLevel="0" collapsed="false">
      <c r="B100" s="2" t="s">
        <v>206</v>
      </c>
      <c r="D100" s="39" t="n">
        <f aca="false">D98-Assumptions!$C$5</f>
        <v>25</v>
      </c>
      <c r="E100" s="39" t="n">
        <f aca="false">E98-D98</f>
        <v>3.75</v>
      </c>
      <c r="F100" s="39" t="n">
        <f aca="false">F98-E98</f>
        <v>1.25</v>
      </c>
      <c r="G100" s="38" t="n">
        <f aca="false">G98-F98</f>
        <v>1.25</v>
      </c>
      <c r="H100" s="39" t="n">
        <f aca="false">H98-G98</f>
        <v>-3.75</v>
      </c>
      <c r="I100" s="39" t="n">
        <f aca="false">I98-H98</f>
        <v>-1.25</v>
      </c>
      <c r="J100" s="39" t="n">
        <f aca="false">J98-I98</f>
        <v>-1.25</v>
      </c>
      <c r="K100" s="39" t="n">
        <f aca="false">K98-J98</f>
        <v>0</v>
      </c>
      <c r="L100" s="39" t="n">
        <f aca="false">L98-K98</f>
        <v>0</v>
      </c>
      <c r="T100" s="34"/>
    </row>
    <row r="101" customFormat="false" ht="15" hidden="false" customHeight="false" outlineLevel="0" collapsed="false">
      <c r="G101" s="34"/>
    </row>
    <row r="104" customFormat="false" ht="15" hidden="false" customHeight="false" outlineLevel="0" collapsed="false">
      <c r="B104" s="3" t="s">
        <v>228</v>
      </c>
    </row>
    <row r="105" customFormat="false" ht="15" hidden="false" customHeight="false" outlineLevel="0" collapsed="false">
      <c r="B105" s="5" t="s">
        <v>180</v>
      </c>
      <c r="C105" s="7" t="s">
        <v>181</v>
      </c>
      <c r="D105" s="7" t="s">
        <v>91</v>
      </c>
      <c r="E105" s="7" t="s">
        <v>92</v>
      </c>
      <c r="F105" s="7" t="s">
        <v>93</v>
      </c>
      <c r="G105" s="7" t="s">
        <v>94</v>
      </c>
      <c r="H105" s="7" t="s">
        <v>95</v>
      </c>
      <c r="I105" s="7" t="s">
        <v>96</v>
      </c>
      <c r="J105" s="7" t="s">
        <v>97</v>
      </c>
      <c r="K105" s="7" t="s">
        <v>98</v>
      </c>
      <c r="L105" s="7" t="s">
        <v>99</v>
      </c>
      <c r="M105" s="7" t="s">
        <v>100</v>
      </c>
      <c r="O105" s="25" t="s">
        <v>182</v>
      </c>
      <c r="P105" s="26" t="s">
        <v>181</v>
      </c>
      <c r="Q105" s="26" t="s">
        <v>91</v>
      </c>
      <c r="R105" s="26" t="s">
        <v>92</v>
      </c>
      <c r="S105" s="26" t="s">
        <v>93</v>
      </c>
      <c r="T105" s="26" t="s">
        <v>94</v>
      </c>
      <c r="U105" s="26" t="s">
        <v>95</v>
      </c>
      <c r="V105" s="26" t="s">
        <v>96</v>
      </c>
      <c r="W105" s="26" t="s">
        <v>97</v>
      </c>
      <c r="X105" s="26" t="s">
        <v>98</v>
      </c>
      <c r="Y105" s="26" t="s">
        <v>99</v>
      </c>
      <c r="Z105" s="26" t="s">
        <v>100</v>
      </c>
    </row>
    <row r="106" customFormat="false" ht="15" hidden="false" customHeight="false" outlineLevel="0" collapsed="false">
      <c r="B106" s="2" t="s">
        <v>183</v>
      </c>
      <c r="D106" s="27" t="n">
        <f aca="false">Assumptions!$C$5*Assumptions!$C$6</f>
        <v>125</v>
      </c>
      <c r="E106" s="28" t="n">
        <f aca="false">Assumptions!$C$5*Assumptions!$C$6</f>
        <v>125</v>
      </c>
      <c r="F106" s="28" t="n">
        <f aca="false">Assumptions!$C$5*Assumptions!$C$6</f>
        <v>125</v>
      </c>
      <c r="G106" s="28" t="n">
        <f aca="false">Assumptions!$C$5*Assumptions!$C$6</f>
        <v>125</v>
      </c>
      <c r="H106" s="28" t="n">
        <f aca="false">Assumptions!$C$5*Assumptions!$C$6</f>
        <v>125</v>
      </c>
      <c r="I106" s="28" t="n">
        <f aca="false">Assumptions!$C$5*Assumptions!$C$6</f>
        <v>125</v>
      </c>
      <c r="J106" s="28" t="n">
        <f aca="false">Assumptions!$C$5*Assumptions!$C$6</f>
        <v>125</v>
      </c>
      <c r="K106" s="28" t="n">
        <f aca="false">Assumptions!$C$5*Assumptions!$C$6</f>
        <v>125</v>
      </c>
      <c r="L106" s="28" t="n">
        <f aca="false">Assumptions!$C$5*Assumptions!$C$6</f>
        <v>125</v>
      </c>
      <c r="O106" s="2" t="s">
        <v>183</v>
      </c>
      <c r="Q106" s="27" t="n">
        <f aca="false">Assumptions!$C$5*Assumptions!$C$6</f>
        <v>125</v>
      </c>
      <c r="R106" s="28" t="n">
        <f aca="false">Assumptions!$C$5*Assumptions!$C$6</f>
        <v>125</v>
      </c>
      <c r="S106" s="28" t="n">
        <f aca="false">Assumptions!$C$5*Assumptions!$C$6</f>
        <v>125</v>
      </c>
      <c r="T106" s="28" t="n">
        <f aca="false">Assumptions!$C$5*Assumptions!$C$6</f>
        <v>125</v>
      </c>
      <c r="U106" s="28" t="n">
        <f aca="false">Assumptions!$C$5*Assumptions!$C$6</f>
        <v>125</v>
      </c>
      <c r="V106" s="28" t="n">
        <f aca="false">Assumptions!$C$5*Assumptions!$C$6</f>
        <v>125</v>
      </c>
      <c r="W106" s="28" t="n">
        <f aca="false">Assumptions!$C$5*Assumptions!$C$6</f>
        <v>125</v>
      </c>
      <c r="X106" s="28" t="n">
        <f aca="false">Assumptions!$C$5*Assumptions!$C$6</f>
        <v>125</v>
      </c>
      <c r="Y106" s="28" t="n">
        <f aca="false">Assumptions!$C$5*Assumptions!$C$6</f>
        <v>125</v>
      </c>
    </row>
    <row r="107" customFormat="false" ht="15" hidden="false" customHeight="false" outlineLevel="0" collapsed="false">
      <c r="B107" s="4" t="s">
        <v>184</v>
      </c>
      <c r="D107" s="29" t="n">
        <v>50</v>
      </c>
      <c r="E107" s="30" t="n">
        <v>0</v>
      </c>
      <c r="F107" s="30" t="n">
        <v>0</v>
      </c>
      <c r="G107" s="30" t="n">
        <v>0</v>
      </c>
      <c r="H107" s="30" t="n">
        <v>0</v>
      </c>
      <c r="I107" s="30" t="n">
        <v>0</v>
      </c>
      <c r="J107" s="30" t="n">
        <v>0</v>
      </c>
      <c r="K107" s="30" t="n">
        <v>0</v>
      </c>
      <c r="L107" s="30" t="n">
        <v>0</v>
      </c>
      <c r="O107" s="4" t="s">
        <v>184</v>
      </c>
      <c r="Q107" s="29" t="n">
        <v>50</v>
      </c>
      <c r="R107" s="30" t="n">
        <v>0</v>
      </c>
      <c r="S107" s="30" t="n">
        <v>0</v>
      </c>
      <c r="T107" s="30" t="n">
        <v>0</v>
      </c>
      <c r="U107" s="30" t="n">
        <v>0</v>
      </c>
      <c r="V107" s="30" t="n">
        <v>0</v>
      </c>
      <c r="W107" s="30" t="n">
        <v>0</v>
      </c>
      <c r="X107" s="30" t="n">
        <v>0</v>
      </c>
      <c r="Y107" s="30" t="n">
        <v>0</v>
      </c>
    </row>
    <row r="108" customFormat="false" ht="15" hidden="false" customHeight="false" outlineLevel="0" collapsed="false">
      <c r="B108" s="4" t="s">
        <v>229</v>
      </c>
      <c r="C108" s="31" t="n">
        <f aca="false">MAX(Assumptions!$C$5*Assumptions!$C$12,D106-(D107))</f>
        <v>75</v>
      </c>
      <c r="D108" s="32" t="n">
        <f aca="false">$C108*Assumptions!$C$21</f>
        <v>75</v>
      </c>
      <c r="E108" s="33" t="n">
        <f aca="false">$C108*Assumptions!$D$21</f>
        <v>0</v>
      </c>
      <c r="F108" s="33" t="n">
        <f aca="false">$C108*Assumptions!$E$21</f>
        <v>0</v>
      </c>
      <c r="G108" s="33" t="n">
        <f aca="false">$C108*Assumptions!$F$21</f>
        <v>0</v>
      </c>
      <c r="M108" s="33" t="n">
        <f aca="false">$C108*Assumptions!$G$21</f>
        <v>75</v>
      </c>
      <c r="O108" s="4" t="s">
        <v>230</v>
      </c>
      <c r="P108" s="31" t="n">
        <f aca="false">MAX(Assumptions!$C$5*Assumptions!$C$12,Q106-(Q107))</f>
        <v>75</v>
      </c>
      <c r="Q108" s="32" t="n">
        <f aca="false">$P108*Assumptions!$C$21</f>
        <v>75</v>
      </c>
      <c r="R108" s="33" t="n">
        <f aca="false">$P108*Assumptions!$D$21</f>
        <v>0</v>
      </c>
      <c r="S108" s="33" t="n">
        <f aca="false">$P108*Assumptions!$E$21</f>
        <v>0</v>
      </c>
      <c r="T108" s="33" t="n">
        <f aca="false">$P108*Assumptions!$F$21</f>
        <v>0</v>
      </c>
      <c r="Z108" s="33" t="n">
        <f aca="false">$P108*Assumptions!$G$21</f>
        <v>75</v>
      </c>
    </row>
    <row r="109" customFormat="false" ht="15" hidden="false" customHeight="false" outlineLevel="0" collapsed="false">
      <c r="B109" s="4" t="s">
        <v>231</v>
      </c>
      <c r="C109" s="31" t="n">
        <f aca="false">Assumptions!$C$5</f>
        <v>100</v>
      </c>
      <c r="D109" s="32" t="n">
        <f aca="false">$C109*Assumptions!$C$22</f>
        <v>0</v>
      </c>
      <c r="E109" s="33" t="n">
        <f aca="false">$C109*Assumptions!$D$22</f>
        <v>25</v>
      </c>
      <c r="F109" s="33" t="n">
        <f aca="false">$C109*Assumptions!$E$22</f>
        <v>10</v>
      </c>
      <c r="G109" s="33" t="n">
        <f aca="false">$C109*Assumptions!$F$22</f>
        <v>5</v>
      </c>
      <c r="M109" s="33" t="n">
        <f aca="false">$C109*Assumptions!$G$22</f>
        <v>40</v>
      </c>
      <c r="O109" s="4" t="s">
        <v>232</v>
      </c>
      <c r="P109" s="31" t="n">
        <f aca="false">Assumptions!$C$5*Assumptions!$C$6</f>
        <v>125</v>
      </c>
      <c r="Q109" s="32" t="n">
        <f aca="false">$P109*Assumptions!$C$20</f>
        <v>0</v>
      </c>
      <c r="R109" s="33" t="n">
        <f aca="false">$P109*Assumptions!$D$20</f>
        <v>125</v>
      </c>
      <c r="S109" s="33" t="n">
        <f aca="false">$P109*Assumptions!$E$20</f>
        <v>62.5</v>
      </c>
      <c r="T109" s="33" t="n">
        <f aca="false">$P109*Assumptions!$F$20</f>
        <v>0</v>
      </c>
      <c r="Z109" s="33" t="n">
        <f aca="false">$P109*Assumptions!$G$20</f>
        <v>187.5</v>
      </c>
    </row>
    <row r="110" customFormat="false" ht="15" hidden="false" customHeight="false" outlineLevel="0" collapsed="false">
      <c r="B110" s="4" t="s">
        <v>187</v>
      </c>
      <c r="C110" s="31" t="n">
        <f aca="false">Assumptions!$C$5</f>
        <v>100</v>
      </c>
      <c r="D110" s="34"/>
      <c r="E110" s="33" t="n">
        <f aca="false">$C110*Assumptions!$C$17</f>
        <v>100</v>
      </c>
      <c r="F110" s="33" t="n">
        <f aca="false">$C110*Assumptions!$D$17</f>
        <v>15</v>
      </c>
      <c r="G110" s="33" t="n">
        <f aca="false">$C110*Assumptions!$E$17</f>
        <v>5</v>
      </c>
      <c r="H110" s="33" t="n">
        <f aca="false">$C110*Assumptions!$F$17</f>
        <v>5</v>
      </c>
      <c r="M110" s="33" t="n">
        <f aca="false">$C110*Assumptions!$G$17</f>
        <v>125</v>
      </c>
      <c r="O110" s="4" t="s">
        <v>233</v>
      </c>
      <c r="P110" s="31" t="n">
        <f aca="false">Assumptions!$C$11*Assumptions!$C$5*Assumptions!$C$6</f>
        <v>62.5</v>
      </c>
      <c r="Q110" s="34"/>
      <c r="S110" s="33" t="n">
        <f aca="false">$P110*Assumptions!$C$18</f>
        <v>62.5</v>
      </c>
      <c r="T110" s="33" t="n">
        <f aca="false">$P110*Assumptions!$D$18</f>
        <v>62.5</v>
      </c>
      <c r="U110" s="33" t="n">
        <f aca="false">$P110*Assumptions!$E$18</f>
        <v>0</v>
      </c>
      <c r="V110" s="33" t="n">
        <f aca="false">$P110*Assumptions!$F$18</f>
        <v>0</v>
      </c>
      <c r="Z110" s="33" t="n">
        <f aca="false">$P110*Assumptions!$G$18</f>
        <v>125</v>
      </c>
    </row>
    <row r="111" customFormat="false" ht="15" hidden="false" customHeight="false" outlineLevel="0" collapsed="false">
      <c r="B111" s="4" t="s">
        <v>189</v>
      </c>
      <c r="C111" s="31" t="n">
        <f aca="false">Assumptions!$C$5</f>
        <v>100</v>
      </c>
      <c r="D111" s="34"/>
      <c r="F111" s="33" t="n">
        <f aca="false">$C111*Assumptions!$C$17</f>
        <v>100</v>
      </c>
      <c r="G111" s="33" t="n">
        <f aca="false">$C111*Assumptions!$D$17</f>
        <v>15</v>
      </c>
      <c r="H111" s="33" t="n">
        <f aca="false">$C111*Assumptions!$E$17</f>
        <v>5</v>
      </c>
      <c r="I111" s="33" t="n">
        <f aca="false">$C111*Assumptions!$F$17</f>
        <v>5</v>
      </c>
      <c r="M111" s="33" t="n">
        <f aca="false">$C111*Assumptions!$G$17</f>
        <v>125</v>
      </c>
      <c r="O111" s="4" t="s">
        <v>234</v>
      </c>
      <c r="P111" s="31" t="n">
        <f aca="false">Assumptions!$C$11*Assumptions!$C$5*Assumptions!$C$6</f>
        <v>62.5</v>
      </c>
      <c r="Q111" s="34"/>
      <c r="T111" s="33" t="n">
        <f aca="false">$P111*Assumptions!$C$18</f>
        <v>62.5</v>
      </c>
      <c r="U111" s="33" t="n">
        <f aca="false">$P111*Assumptions!$D$18</f>
        <v>62.5</v>
      </c>
      <c r="V111" s="33" t="n">
        <f aca="false">$P111*Assumptions!$E$18</f>
        <v>0</v>
      </c>
      <c r="W111" s="33" t="n">
        <f aca="false">$P111*Assumptions!$F$18</f>
        <v>0</v>
      </c>
      <c r="Z111" s="33" t="n">
        <f aca="false">$P111*Assumptions!$G$18</f>
        <v>125</v>
      </c>
    </row>
    <row r="112" customFormat="false" ht="15" hidden="false" customHeight="false" outlineLevel="0" collapsed="false">
      <c r="B112" s="4" t="s">
        <v>191</v>
      </c>
      <c r="C112" s="31" t="n">
        <f aca="false">Assumptions!$C$5</f>
        <v>100</v>
      </c>
      <c r="D112" s="34"/>
      <c r="G112" s="33" t="n">
        <f aca="false">$C112*Assumptions!$C$17</f>
        <v>100</v>
      </c>
      <c r="H112" s="33" t="n">
        <f aca="false">$C112*Assumptions!$D$17</f>
        <v>15</v>
      </c>
      <c r="I112" s="33" t="n">
        <f aca="false">$C112*Assumptions!$E$17</f>
        <v>5</v>
      </c>
      <c r="J112" s="33" t="n">
        <f aca="false">$C112*Assumptions!$F$17</f>
        <v>5</v>
      </c>
      <c r="M112" s="33" t="n">
        <f aca="false">$C112*Assumptions!$G$17</f>
        <v>125</v>
      </c>
      <c r="O112" s="4" t="s">
        <v>217</v>
      </c>
      <c r="P112" s="31" t="n">
        <f aca="false">Assumptions!$C$11*Assumptions!$C$5*Assumptions!$C$6</f>
        <v>62.5</v>
      </c>
      <c r="Q112" s="34"/>
      <c r="U112" s="33" t="n">
        <f aca="false">$P112*Assumptions!$C$18</f>
        <v>62.5</v>
      </c>
      <c r="V112" s="33" t="n">
        <f aca="false">$P112*Assumptions!$D$18</f>
        <v>62.5</v>
      </c>
      <c r="W112" s="33" t="n">
        <f aca="false">$P112*Assumptions!$E$18</f>
        <v>0</v>
      </c>
      <c r="X112" s="33" t="n">
        <f aca="false">$P112*Assumptions!$F$18</f>
        <v>0</v>
      </c>
      <c r="Z112" s="33" t="n">
        <f aca="false">$P112*Assumptions!$G$18</f>
        <v>125</v>
      </c>
    </row>
    <row r="113" customFormat="false" ht="15" hidden="false" customHeight="false" outlineLevel="0" collapsed="false">
      <c r="B113" s="4" t="s">
        <v>193</v>
      </c>
      <c r="C113" s="31" t="n">
        <f aca="false">Assumptions!$C$5</f>
        <v>100</v>
      </c>
      <c r="D113" s="34"/>
      <c r="H113" s="33" t="n">
        <f aca="false">$C113*Assumptions!$C$17</f>
        <v>100</v>
      </c>
      <c r="I113" s="33" t="n">
        <f aca="false">$C113*Assumptions!$D$17</f>
        <v>15</v>
      </c>
      <c r="J113" s="33" t="n">
        <f aca="false">$C113*Assumptions!$E$17</f>
        <v>5</v>
      </c>
      <c r="K113" s="33" t="n">
        <f aca="false">$C113*Assumptions!$F$17</f>
        <v>5</v>
      </c>
      <c r="M113" s="33" t="n">
        <f aca="false">$C113*Assumptions!$G$17</f>
        <v>125</v>
      </c>
      <c r="O113" s="4" t="s">
        <v>218</v>
      </c>
      <c r="P113" s="31" t="n">
        <f aca="false">Assumptions!$C$11*Assumptions!$C$5*Assumptions!$C$6</f>
        <v>62.5</v>
      </c>
      <c r="Q113" s="34"/>
      <c r="V113" s="33" t="n">
        <f aca="false">$P113*Assumptions!$C$18</f>
        <v>62.5</v>
      </c>
      <c r="W113" s="33" t="n">
        <f aca="false">$P113*Assumptions!$D$18</f>
        <v>62.5</v>
      </c>
      <c r="X113" s="33" t="n">
        <f aca="false">$P113*Assumptions!$E$18</f>
        <v>0</v>
      </c>
      <c r="Y113" s="33" t="n">
        <f aca="false">$P113*Assumptions!$F$18</f>
        <v>0</v>
      </c>
      <c r="Z113" s="33" t="n">
        <f aca="false">$P113*Assumptions!$G$18</f>
        <v>125</v>
      </c>
    </row>
    <row r="114" customFormat="false" ht="15" hidden="false" customHeight="false" outlineLevel="0" collapsed="false">
      <c r="B114" s="4" t="s">
        <v>195</v>
      </c>
      <c r="C114" s="31" t="n">
        <f aca="false">Assumptions!$C$5</f>
        <v>100</v>
      </c>
      <c r="D114" s="34"/>
      <c r="I114" s="33" t="n">
        <f aca="false">$C114*Assumptions!$C$17</f>
        <v>100</v>
      </c>
      <c r="J114" s="33" t="n">
        <f aca="false">$C114*Assumptions!$D$17</f>
        <v>15</v>
      </c>
      <c r="K114" s="33" t="n">
        <f aca="false">$C114*Assumptions!$E$17</f>
        <v>5</v>
      </c>
      <c r="L114" s="33" t="n">
        <f aca="false">$C114*Assumptions!$F$17</f>
        <v>5</v>
      </c>
      <c r="M114" s="33" t="n">
        <f aca="false">$C114*Assumptions!$G$17</f>
        <v>125</v>
      </c>
      <c r="O114" s="4" t="s">
        <v>219</v>
      </c>
      <c r="P114" s="31" t="n">
        <f aca="false">Assumptions!$C$11*Assumptions!$C$5*Assumptions!$C$6</f>
        <v>62.5</v>
      </c>
      <c r="Q114" s="34"/>
      <c r="W114" s="33" t="n">
        <f aca="false">$P114*Assumptions!$C$18</f>
        <v>62.5</v>
      </c>
      <c r="X114" s="33" t="n">
        <f aca="false">$P114*Assumptions!$D$18</f>
        <v>62.5</v>
      </c>
      <c r="Y114" s="33" t="n">
        <f aca="false">$P114*Assumptions!$E$18</f>
        <v>0</v>
      </c>
      <c r="Z114" s="33" t="n">
        <f aca="false">$P114*Assumptions!$G$18</f>
        <v>125</v>
      </c>
    </row>
    <row r="115" customFormat="false" ht="15" hidden="false" customHeight="false" outlineLevel="0" collapsed="false">
      <c r="B115" s="4" t="s">
        <v>197</v>
      </c>
      <c r="C115" s="31" t="n">
        <f aca="false">Assumptions!$C$5</f>
        <v>100</v>
      </c>
      <c r="D115" s="34"/>
      <c r="J115" s="33" t="n">
        <f aca="false">$C115*Assumptions!$C$17</f>
        <v>100</v>
      </c>
      <c r="K115" s="33" t="n">
        <f aca="false">$C115*Assumptions!$D$17</f>
        <v>15</v>
      </c>
      <c r="L115" s="33" t="n">
        <f aca="false">$C115*Assumptions!$E$17</f>
        <v>5</v>
      </c>
      <c r="M115" s="33" t="n">
        <f aca="false">$C115*Assumptions!$G$17</f>
        <v>125</v>
      </c>
      <c r="O115" s="4" t="s">
        <v>220</v>
      </c>
      <c r="P115" s="31" t="n">
        <f aca="false">Assumptions!$C$11*Assumptions!$C$5*Assumptions!$C$6</f>
        <v>62.5</v>
      </c>
      <c r="Q115" s="34"/>
      <c r="X115" s="33" t="n">
        <f aca="false">$P115*Assumptions!$C$18</f>
        <v>62.5</v>
      </c>
      <c r="Y115" s="33" t="n">
        <f aca="false">$P115*Assumptions!$D$18</f>
        <v>62.5</v>
      </c>
      <c r="Z115" s="33" t="n">
        <f aca="false">$P115*Assumptions!$G$18</f>
        <v>125</v>
      </c>
    </row>
    <row r="116" customFormat="false" ht="15" hidden="false" customHeight="false" outlineLevel="0" collapsed="false">
      <c r="B116" s="4" t="s">
        <v>199</v>
      </c>
      <c r="C116" s="31" t="n">
        <f aca="false">Assumptions!$C$5</f>
        <v>100</v>
      </c>
      <c r="D116" s="34"/>
      <c r="K116" s="33" t="n">
        <f aca="false">$C116*Assumptions!$C$17</f>
        <v>100</v>
      </c>
      <c r="L116" s="33" t="n">
        <f aca="false">$C116*Assumptions!$D$17</f>
        <v>15</v>
      </c>
      <c r="M116" s="33" t="n">
        <f aca="false">$C116*Assumptions!$G$17</f>
        <v>125</v>
      </c>
      <c r="O116" s="4" t="s">
        <v>221</v>
      </c>
      <c r="P116" s="31" t="n">
        <f aca="false">Assumptions!$C$11*Assumptions!$C$5*Assumptions!$C$6</f>
        <v>62.5</v>
      </c>
      <c r="Q116" s="34"/>
      <c r="Y116" s="33" t="n">
        <f aca="false">$P116*Assumptions!$C$18</f>
        <v>62.5</v>
      </c>
      <c r="Z116" s="33" t="n">
        <f aca="false">$P116*Assumptions!$G$18</f>
        <v>125</v>
      </c>
    </row>
    <row r="117" customFormat="false" ht="15" hidden="false" customHeight="false" outlineLevel="0" collapsed="false">
      <c r="B117" s="4" t="s">
        <v>201</v>
      </c>
      <c r="C117" s="31" t="n">
        <f aca="false">Assumptions!$C$5</f>
        <v>100</v>
      </c>
      <c r="D117" s="34"/>
      <c r="L117" s="33" t="n">
        <f aca="false">$C117*Assumptions!$C$17</f>
        <v>100</v>
      </c>
      <c r="M117" s="33" t="n">
        <f aca="false">$C117*Assumptions!$G$17</f>
        <v>125</v>
      </c>
      <c r="O117" s="8" t="s">
        <v>203</v>
      </c>
      <c r="P117" s="8" t="s">
        <v>204</v>
      </c>
      <c r="Q117" s="35" t="n">
        <f aca="false">Q107+SUM(Q108:Q116)</f>
        <v>125</v>
      </c>
      <c r="R117" s="13" t="n">
        <f aca="false">R107+SUM(R108:R116)</f>
        <v>125</v>
      </c>
      <c r="S117" s="13" t="n">
        <f aca="false">S107+SUM(S108:S116)</f>
        <v>125</v>
      </c>
      <c r="T117" s="13" t="n">
        <f aca="false">T107+SUM(T108:T116)</f>
        <v>125</v>
      </c>
      <c r="U117" s="13" t="n">
        <f aca="false">U107+SUM(U108:U116)</f>
        <v>125</v>
      </c>
      <c r="V117" s="13" t="n">
        <f aca="false">V107+SUM(V108:V116)</f>
        <v>125</v>
      </c>
      <c r="W117" s="13" t="n">
        <f aca="false">W107+SUM(W108:W116)</f>
        <v>125</v>
      </c>
      <c r="X117" s="13" t="n">
        <f aca="false">X107+SUM(X108:X116)</f>
        <v>125</v>
      </c>
      <c r="Y117" s="13" t="n">
        <f aca="false">Y107+SUM(Y108:Y116)</f>
        <v>125</v>
      </c>
      <c r="Z117" s="13" t="n">
        <f aca="false">SUM(Z108:Z116)</f>
        <v>1137.5</v>
      </c>
    </row>
    <row r="118" customFormat="false" ht="15" hidden="false" customHeight="false" outlineLevel="0" collapsed="false">
      <c r="B118" s="8" t="s">
        <v>203</v>
      </c>
      <c r="C118" s="8" t="s">
        <v>204</v>
      </c>
      <c r="D118" s="35" t="n">
        <f aca="false">D107+SUM(D108:D117)</f>
        <v>125</v>
      </c>
      <c r="E118" s="13" t="n">
        <f aca="false">E107+SUM(E108:E117)</f>
        <v>125</v>
      </c>
      <c r="F118" s="13" t="n">
        <f aca="false">F107+SUM(F108:F117)</f>
        <v>125</v>
      </c>
      <c r="G118" s="13" t="n">
        <f aca="false">G107+SUM(G108:G117)</f>
        <v>125</v>
      </c>
      <c r="H118" s="13" t="n">
        <f aca="false">H107+SUM(H108:H117)</f>
        <v>125</v>
      </c>
      <c r="I118" s="13" t="n">
        <f aca="false">I107+SUM(I108:I117)</f>
        <v>125</v>
      </c>
      <c r="J118" s="13" t="n">
        <f aca="false">J107+SUM(J108:J117)</f>
        <v>125</v>
      </c>
      <c r="K118" s="13" t="n">
        <f aca="false">K107+SUM(K108:K117)</f>
        <v>125</v>
      </c>
      <c r="L118" s="13" t="n">
        <f aca="false">L107+SUM(L108:L117)</f>
        <v>125</v>
      </c>
      <c r="M118" s="13" t="n">
        <f aca="false">SUM(M108:M117)</f>
        <v>1115</v>
      </c>
      <c r="O118" s="2" t="s">
        <v>205</v>
      </c>
      <c r="Q118" s="36" t="n">
        <f aca="false">Q117/Q106</f>
        <v>1</v>
      </c>
      <c r="R118" s="37" t="n">
        <f aca="false">R117/R106</f>
        <v>1</v>
      </c>
      <c r="S118" s="37" t="n">
        <f aca="false">S117/S106</f>
        <v>1</v>
      </c>
      <c r="T118" s="37" t="n">
        <f aca="false">T117/T106</f>
        <v>1</v>
      </c>
      <c r="U118" s="37" t="n">
        <f aca="false">U117/U106</f>
        <v>1</v>
      </c>
      <c r="V118" s="37" t="n">
        <f aca="false">V117/V106</f>
        <v>1</v>
      </c>
      <c r="W118" s="37" t="n">
        <f aca="false">W117/W106</f>
        <v>1</v>
      </c>
      <c r="X118" s="37" t="n">
        <f aca="false">X117/X106</f>
        <v>1</v>
      </c>
      <c r="Y118" s="37" t="n">
        <f aca="false">Y117/Y106</f>
        <v>1</v>
      </c>
    </row>
    <row r="119" customFormat="false" ht="15" hidden="false" customHeight="false" outlineLevel="0" collapsed="false">
      <c r="B119" s="2" t="s">
        <v>205</v>
      </c>
      <c r="D119" s="36" t="n">
        <f aca="false">D118/D106</f>
        <v>1</v>
      </c>
      <c r="E119" s="37" t="n">
        <f aca="false">E118/E106</f>
        <v>1</v>
      </c>
      <c r="F119" s="37" t="n">
        <f aca="false">F118/F106</f>
        <v>1</v>
      </c>
      <c r="G119" s="37" t="n">
        <f aca="false">G118/G106</f>
        <v>1</v>
      </c>
      <c r="H119" s="37" t="n">
        <f aca="false">H118/H106</f>
        <v>1</v>
      </c>
      <c r="I119" s="37" t="n">
        <f aca="false">I118/I106</f>
        <v>1</v>
      </c>
      <c r="J119" s="37" t="n">
        <f aca="false">J118/J106</f>
        <v>1</v>
      </c>
      <c r="K119" s="37" t="n">
        <f aca="false">K118/K106</f>
        <v>1</v>
      </c>
      <c r="L119" s="37" t="n">
        <f aca="false">L118/L106</f>
        <v>1</v>
      </c>
      <c r="O119" s="2" t="s">
        <v>206</v>
      </c>
      <c r="Q119" s="38" t="n">
        <f aca="false">Q117-Assumptions!$C$5</f>
        <v>25</v>
      </c>
      <c r="R119" s="39" t="n">
        <f aca="false">R117-Q117</f>
        <v>0</v>
      </c>
      <c r="S119" s="39" t="n">
        <f aca="false">S117-R117</f>
        <v>0</v>
      </c>
      <c r="T119" s="39" t="n">
        <f aca="false">T117-S117</f>
        <v>0</v>
      </c>
      <c r="U119" s="39" t="n">
        <f aca="false">U117-T117</f>
        <v>0</v>
      </c>
      <c r="V119" s="39" t="n">
        <f aca="false">V117-U117</f>
        <v>0</v>
      </c>
      <c r="W119" s="39" t="n">
        <f aca="false">W117-V117</f>
        <v>0</v>
      </c>
      <c r="X119" s="39" t="n">
        <f aca="false">X117-W117</f>
        <v>0</v>
      </c>
      <c r="Y119" s="39" t="n">
        <f aca="false">Y117-X117</f>
        <v>0</v>
      </c>
    </row>
    <row r="120" customFormat="false" ht="15" hidden="false" customHeight="false" outlineLevel="0" collapsed="false">
      <c r="B120" s="2" t="s">
        <v>206</v>
      </c>
      <c r="D120" s="38" t="n">
        <f aca="false">D118-Assumptions!$C$5</f>
        <v>25</v>
      </c>
      <c r="E120" s="39" t="n">
        <f aca="false">E118-D118</f>
        <v>0</v>
      </c>
      <c r="F120" s="39" t="n">
        <f aca="false">F118-E118</f>
        <v>0</v>
      </c>
      <c r="G120" s="39" t="n">
        <f aca="false">G118-F118</f>
        <v>0</v>
      </c>
      <c r="H120" s="39" t="n">
        <f aca="false">H118-G118</f>
        <v>0</v>
      </c>
      <c r="I120" s="39" t="n">
        <f aca="false">I118-H118</f>
        <v>0</v>
      </c>
      <c r="J120" s="39" t="n">
        <f aca="false">J118-I118</f>
        <v>0</v>
      </c>
      <c r="K120" s="39" t="n">
        <f aca="false">K118-J118</f>
        <v>0</v>
      </c>
      <c r="L120" s="39" t="n">
        <f aca="false">L118-K118</f>
        <v>0</v>
      </c>
      <c r="Q120" s="34"/>
    </row>
    <row r="121" customFormat="false" ht="15" hidden="false" customHeight="false" outlineLevel="0" collapsed="false">
      <c r="D121" s="34"/>
    </row>
    <row r="124" customFormat="false" ht="15" hidden="false" customHeight="false" outlineLevel="0" collapsed="false">
      <c r="B124" s="3" t="s">
        <v>235</v>
      </c>
    </row>
    <row r="125" customFormat="false" ht="15" hidden="false" customHeight="false" outlineLevel="0" collapsed="false">
      <c r="B125" s="5" t="s">
        <v>180</v>
      </c>
      <c r="C125" s="7" t="s">
        <v>181</v>
      </c>
      <c r="D125" s="7" t="s">
        <v>91</v>
      </c>
      <c r="E125" s="7" t="s">
        <v>92</v>
      </c>
      <c r="F125" s="7" t="s">
        <v>93</v>
      </c>
      <c r="G125" s="7" t="s">
        <v>94</v>
      </c>
      <c r="H125" s="7" t="s">
        <v>95</v>
      </c>
      <c r="I125" s="7" t="s">
        <v>96</v>
      </c>
      <c r="J125" s="7" t="s">
        <v>97</v>
      </c>
      <c r="K125" s="7" t="s">
        <v>98</v>
      </c>
      <c r="L125" s="7" t="s">
        <v>99</v>
      </c>
      <c r="M125" s="7" t="s">
        <v>100</v>
      </c>
      <c r="O125" s="25" t="s">
        <v>182</v>
      </c>
      <c r="P125" s="26" t="s">
        <v>181</v>
      </c>
      <c r="Q125" s="26" t="s">
        <v>91</v>
      </c>
      <c r="R125" s="26" t="s">
        <v>92</v>
      </c>
      <c r="S125" s="26" t="s">
        <v>93</v>
      </c>
      <c r="T125" s="26" t="s">
        <v>94</v>
      </c>
      <c r="U125" s="26" t="s">
        <v>95</v>
      </c>
      <c r="V125" s="26" t="s">
        <v>96</v>
      </c>
      <c r="W125" s="26" t="s">
        <v>97</v>
      </c>
      <c r="X125" s="26" t="s">
        <v>98</v>
      </c>
      <c r="Y125" s="26" t="s">
        <v>99</v>
      </c>
      <c r="Z125" s="26" t="s">
        <v>100</v>
      </c>
    </row>
    <row r="126" customFormat="false" ht="15" hidden="false" customHeight="false" outlineLevel="0" collapsed="false">
      <c r="B126" s="2" t="s">
        <v>183</v>
      </c>
      <c r="D126" s="27" t="n">
        <f aca="false">Assumptions!$C$5*Assumptions!$C$6</f>
        <v>125</v>
      </c>
      <c r="E126" s="28" t="n">
        <f aca="false">Assumptions!$C$5*Assumptions!$C$6</f>
        <v>125</v>
      </c>
      <c r="F126" s="28" t="n">
        <f aca="false">Assumptions!$C$5*Assumptions!$C$6</f>
        <v>125</v>
      </c>
      <c r="G126" s="28" t="n">
        <f aca="false">Assumptions!$C$5*Assumptions!$C$6</f>
        <v>125</v>
      </c>
      <c r="H126" s="28" t="n">
        <f aca="false">Assumptions!$C$5*Assumptions!$C$6</f>
        <v>125</v>
      </c>
      <c r="I126" s="28" t="n">
        <f aca="false">Assumptions!$C$5*Assumptions!$C$6</f>
        <v>125</v>
      </c>
      <c r="J126" s="28" t="n">
        <f aca="false">Assumptions!$C$5*Assumptions!$C$6</f>
        <v>125</v>
      </c>
      <c r="K126" s="28" t="n">
        <f aca="false">Assumptions!$C$5*Assumptions!$C$6</f>
        <v>125</v>
      </c>
      <c r="L126" s="28" t="n">
        <f aca="false">Assumptions!$C$5*Assumptions!$C$6</f>
        <v>125</v>
      </c>
      <c r="O126" s="2" t="s">
        <v>183</v>
      </c>
      <c r="Q126" s="27" t="n">
        <f aca="false">Assumptions!$C$5*Assumptions!$C$6</f>
        <v>125</v>
      </c>
      <c r="R126" s="28" t="n">
        <f aca="false">Assumptions!$C$5*Assumptions!$C$6</f>
        <v>125</v>
      </c>
      <c r="S126" s="28" t="n">
        <f aca="false">Assumptions!$C$5*Assumptions!$C$6</f>
        <v>125</v>
      </c>
      <c r="T126" s="28" t="n">
        <f aca="false">Assumptions!$C$5*Assumptions!$C$6</f>
        <v>125</v>
      </c>
      <c r="U126" s="28" t="n">
        <f aca="false">Assumptions!$C$5*Assumptions!$C$6</f>
        <v>125</v>
      </c>
      <c r="V126" s="28" t="n">
        <f aca="false">Assumptions!$C$5*Assumptions!$C$6</f>
        <v>125</v>
      </c>
      <c r="W126" s="28" t="n">
        <f aca="false">Assumptions!$C$5*Assumptions!$C$6</f>
        <v>125</v>
      </c>
      <c r="X126" s="28" t="n">
        <f aca="false">Assumptions!$C$5*Assumptions!$C$6</f>
        <v>125</v>
      </c>
      <c r="Y126" s="28" t="n">
        <f aca="false">Assumptions!$C$5*Assumptions!$C$6</f>
        <v>125</v>
      </c>
    </row>
    <row r="127" customFormat="false" ht="15" hidden="false" customHeight="false" outlineLevel="0" collapsed="false">
      <c r="B127" s="4" t="s">
        <v>184</v>
      </c>
      <c r="D127" s="29" t="n">
        <v>75</v>
      </c>
      <c r="E127" s="30" t="n">
        <v>0</v>
      </c>
      <c r="F127" s="30" t="n">
        <v>0</v>
      </c>
      <c r="G127" s="30" t="n">
        <v>0</v>
      </c>
      <c r="H127" s="30" t="n">
        <v>0</v>
      </c>
      <c r="I127" s="30" t="n">
        <v>0</v>
      </c>
      <c r="J127" s="30" t="n">
        <v>0</v>
      </c>
      <c r="K127" s="30" t="n">
        <v>0</v>
      </c>
      <c r="L127" s="30" t="n">
        <v>0</v>
      </c>
      <c r="O127" s="4" t="s">
        <v>184</v>
      </c>
      <c r="Q127" s="29" t="n">
        <v>75</v>
      </c>
      <c r="R127" s="30" t="n">
        <v>0</v>
      </c>
      <c r="S127" s="30" t="n">
        <v>0</v>
      </c>
      <c r="T127" s="30" t="n">
        <v>0</v>
      </c>
      <c r="U127" s="30" t="n">
        <v>0</v>
      </c>
      <c r="V127" s="30" t="n">
        <v>0</v>
      </c>
      <c r="W127" s="30" t="n">
        <v>0</v>
      </c>
      <c r="X127" s="30" t="n">
        <v>0</v>
      </c>
      <c r="Y127" s="30" t="n">
        <v>0</v>
      </c>
    </row>
    <row r="128" customFormat="false" ht="15" hidden="false" customHeight="false" outlineLevel="0" collapsed="false">
      <c r="B128" s="4" t="s">
        <v>229</v>
      </c>
      <c r="C128" s="31" t="n">
        <f aca="false">MAX(Assumptions!$C$5*Assumptions!$C$12,D126-(D127))</f>
        <v>50</v>
      </c>
      <c r="D128" s="32" t="n">
        <f aca="false">$C128*Assumptions!$C$21</f>
        <v>50</v>
      </c>
      <c r="E128" s="33" t="n">
        <f aca="false">$C128*Assumptions!$D$21</f>
        <v>0</v>
      </c>
      <c r="F128" s="33" t="n">
        <f aca="false">$C128*Assumptions!$E$21</f>
        <v>0</v>
      </c>
      <c r="G128" s="33" t="n">
        <f aca="false">$C128*Assumptions!$F$21</f>
        <v>0</v>
      </c>
      <c r="M128" s="33" t="n">
        <f aca="false">$C128*Assumptions!$G$21</f>
        <v>50</v>
      </c>
      <c r="O128" s="4" t="s">
        <v>230</v>
      </c>
      <c r="P128" s="31" t="n">
        <f aca="false">MAX(Assumptions!$C$5*Assumptions!$C$12,Q126-(Q127))</f>
        <v>50</v>
      </c>
      <c r="Q128" s="32" t="n">
        <f aca="false">$P128*Assumptions!$C$21</f>
        <v>50</v>
      </c>
      <c r="R128" s="33" t="n">
        <f aca="false">$P128*Assumptions!$D$21</f>
        <v>0</v>
      </c>
      <c r="S128" s="33" t="n">
        <f aca="false">$P128*Assumptions!$E$21</f>
        <v>0</v>
      </c>
      <c r="T128" s="33" t="n">
        <f aca="false">$P128*Assumptions!$F$21</f>
        <v>0</v>
      </c>
      <c r="Z128" s="33" t="n">
        <f aca="false">$P128*Assumptions!$G$21</f>
        <v>50</v>
      </c>
    </row>
    <row r="129" customFormat="false" ht="15" hidden="false" customHeight="false" outlineLevel="0" collapsed="false">
      <c r="B129" s="4" t="s">
        <v>231</v>
      </c>
      <c r="C129" s="31" t="n">
        <f aca="false">Assumptions!$C$5</f>
        <v>100</v>
      </c>
      <c r="D129" s="32" t="n">
        <f aca="false">$C129*Assumptions!$C$22</f>
        <v>0</v>
      </c>
      <c r="E129" s="33" t="n">
        <f aca="false">$C129*Assumptions!$D$22</f>
        <v>25</v>
      </c>
      <c r="F129" s="33" t="n">
        <f aca="false">$C129*Assumptions!$E$22</f>
        <v>10</v>
      </c>
      <c r="G129" s="33" t="n">
        <f aca="false">$C129*Assumptions!$F$22</f>
        <v>5</v>
      </c>
      <c r="M129" s="33" t="n">
        <f aca="false">$C129*Assumptions!$G$22</f>
        <v>40</v>
      </c>
      <c r="O129" s="4" t="s">
        <v>232</v>
      </c>
      <c r="P129" s="31" t="n">
        <f aca="false">Assumptions!$C$5*Assumptions!$C$6</f>
        <v>125</v>
      </c>
      <c r="Q129" s="32" t="n">
        <f aca="false">$P129*Assumptions!$C$20</f>
        <v>0</v>
      </c>
      <c r="R129" s="33" t="n">
        <f aca="false">$P129*Assumptions!$D$20</f>
        <v>125</v>
      </c>
      <c r="S129" s="33" t="n">
        <f aca="false">$P129*Assumptions!$E$20</f>
        <v>62.5</v>
      </c>
      <c r="T129" s="33" t="n">
        <f aca="false">$P129*Assumptions!$F$20</f>
        <v>0</v>
      </c>
      <c r="Z129" s="33" t="n">
        <f aca="false">$P129*Assumptions!$G$20</f>
        <v>187.5</v>
      </c>
    </row>
    <row r="130" customFormat="false" ht="15" hidden="false" customHeight="false" outlineLevel="0" collapsed="false">
      <c r="B130" s="4" t="s">
        <v>187</v>
      </c>
      <c r="C130" s="31" t="n">
        <f aca="false">Assumptions!$C$5</f>
        <v>100</v>
      </c>
      <c r="D130" s="34"/>
      <c r="E130" s="33" t="n">
        <f aca="false">$C130*Assumptions!$C$17</f>
        <v>100</v>
      </c>
      <c r="F130" s="33" t="n">
        <f aca="false">$C130*Assumptions!$D$17</f>
        <v>15</v>
      </c>
      <c r="G130" s="33" t="n">
        <f aca="false">$C130*Assumptions!$E$17</f>
        <v>5</v>
      </c>
      <c r="H130" s="33" t="n">
        <f aca="false">$C130*Assumptions!$F$17</f>
        <v>5</v>
      </c>
      <c r="M130" s="33" t="n">
        <f aca="false">$C130*Assumptions!$G$17</f>
        <v>125</v>
      </c>
      <c r="O130" s="4" t="s">
        <v>233</v>
      </c>
      <c r="P130" s="31" t="n">
        <f aca="false">Assumptions!$C$11*Assumptions!$C$5*Assumptions!$C$6</f>
        <v>62.5</v>
      </c>
      <c r="Q130" s="34"/>
      <c r="S130" s="33" t="n">
        <f aca="false">$P130*Assumptions!$C$18</f>
        <v>62.5</v>
      </c>
      <c r="T130" s="33" t="n">
        <f aca="false">$P130*Assumptions!$D$18</f>
        <v>62.5</v>
      </c>
      <c r="U130" s="33" t="n">
        <f aca="false">$P130*Assumptions!$E$18</f>
        <v>0</v>
      </c>
      <c r="V130" s="33" t="n">
        <f aca="false">$P130*Assumptions!$F$18</f>
        <v>0</v>
      </c>
      <c r="Z130" s="33" t="n">
        <f aca="false">$P130*Assumptions!$G$18</f>
        <v>125</v>
      </c>
    </row>
    <row r="131" customFormat="false" ht="15" hidden="false" customHeight="false" outlineLevel="0" collapsed="false">
      <c r="B131" s="4" t="s">
        <v>189</v>
      </c>
      <c r="C131" s="31" t="n">
        <f aca="false">Assumptions!$C$5</f>
        <v>100</v>
      </c>
      <c r="D131" s="34"/>
      <c r="F131" s="33" t="n">
        <f aca="false">$C131*Assumptions!$C$17</f>
        <v>100</v>
      </c>
      <c r="G131" s="33" t="n">
        <f aca="false">$C131*Assumptions!$D$17</f>
        <v>15</v>
      </c>
      <c r="H131" s="33" t="n">
        <f aca="false">$C131*Assumptions!$E$17</f>
        <v>5</v>
      </c>
      <c r="I131" s="33" t="n">
        <f aca="false">$C131*Assumptions!$F$17</f>
        <v>5</v>
      </c>
      <c r="M131" s="33" t="n">
        <f aca="false">$C131*Assumptions!$G$17</f>
        <v>125</v>
      </c>
      <c r="O131" s="4" t="s">
        <v>234</v>
      </c>
      <c r="P131" s="31" t="n">
        <f aca="false">Assumptions!$C$11*Assumptions!$C$5*Assumptions!$C$6</f>
        <v>62.5</v>
      </c>
      <c r="Q131" s="34"/>
      <c r="T131" s="33" t="n">
        <f aca="false">$P131*Assumptions!$C$18</f>
        <v>62.5</v>
      </c>
      <c r="U131" s="33" t="n">
        <f aca="false">$P131*Assumptions!$D$18</f>
        <v>62.5</v>
      </c>
      <c r="V131" s="33" t="n">
        <f aca="false">$P131*Assumptions!$E$18</f>
        <v>0</v>
      </c>
      <c r="W131" s="33" t="n">
        <f aca="false">$P131*Assumptions!$F$18</f>
        <v>0</v>
      </c>
      <c r="Z131" s="33" t="n">
        <f aca="false">$P131*Assumptions!$G$18</f>
        <v>125</v>
      </c>
    </row>
    <row r="132" customFormat="false" ht="15" hidden="false" customHeight="false" outlineLevel="0" collapsed="false">
      <c r="B132" s="4" t="s">
        <v>191</v>
      </c>
      <c r="C132" s="31" t="n">
        <f aca="false">Assumptions!$C$5</f>
        <v>100</v>
      </c>
      <c r="D132" s="34"/>
      <c r="G132" s="33" t="n">
        <f aca="false">$C132*Assumptions!$C$17</f>
        <v>100</v>
      </c>
      <c r="H132" s="33" t="n">
        <f aca="false">$C132*Assumptions!$D$17</f>
        <v>15</v>
      </c>
      <c r="I132" s="33" t="n">
        <f aca="false">$C132*Assumptions!$E$17</f>
        <v>5</v>
      </c>
      <c r="J132" s="33" t="n">
        <f aca="false">$C132*Assumptions!$F$17</f>
        <v>5</v>
      </c>
      <c r="M132" s="33" t="n">
        <f aca="false">$C132*Assumptions!$G$17</f>
        <v>125</v>
      </c>
      <c r="O132" s="4" t="s">
        <v>217</v>
      </c>
      <c r="P132" s="31" t="n">
        <f aca="false">Assumptions!$C$11*Assumptions!$C$5*Assumptions!$C$6</f>
        <v>62.5</v>
      </c>
      <c r="Q132" s="34"/>
      <c r="U132" s="33" t="n">
        <f aca="false">$P132*Assumptions!$C$18</f>
        <v>62.5</v>
      </c>
      <c r="V132" s="33" t="n">
        <f aca="false">$P132*Assumptions!$D$18</f>
        <v>62.5</v>
      </c>
      <c r="W132" s="33" t="n">
        <f aca="false">$P132*Assumptions!$E$18</f>
        <v>0</v>
      </c>
      <c r="X132" s="33" t="n">
        <f aca="false">$P132*Assumptions!$F$18</f>
        <v>0</v>
      </c>
      <c r="Z132" s="33" t="n">
        <f aca="false">$P132*Assumptions!$G$18</f>
        <v>125</v>
      </c>
    </row>
    <row r="133" customFormat="false" ht="15" hidden="false" customHeight="false" outlineLevel="0" collapsed="false">
      <c r="B133" s="4" t="s">
        <v>193</v>
      </c>
      <c r="C133" s="31" t="n">
        <f aca="false">Assumptions!$C$5</f>
        <v>100</v>
      </c>
      <c r="D133" s="34"/>
      <c r="H133" s="33" t="n">
        <f aca="false">$C133*Assumptions!$C$17</f>
        <v>100</v>
      </c>
      <c r="I133" s="33" t="n">
        <f aca="false">$C133*Assumptions!$D$17</f>
        <v>15</v>
      </c>
      <c r="J133" s="33" t="n">
        <f aca="false">$C133*Assumptions!$E$17</f>
        <v>5</v>
      </c>
      <c r="K133" s="33" t="n">
        <f aca="false">$C133*Assumptions!$F$17</f>
        <v>5</v>
      </c>
      <c r="M133" s="33" t="n">
        <f aca="false">$C133*Assumptions!$G$17</f>
        <v>125</v>
      </c>
      <c r="O133" s="4" t="s">
        <v>218</v>
      </c>
      <c r="P133" s="31" t="n">
        <f aca="false">Assumptions!$C$11*Assumptions!$C$5*Assumptions!$C$6</f>
        <v>62.5</v>
      </c>
      <c r="Q133" s="34"/>
      <c r="V133" s="33" t="n">
        <f aca="false">$P133*Assumptions!$C$18</f>
        <v>62.5</v>
      </c>
      <c r="W133" s="33" t="n">
        <f aca="false">$P133*Assumptions!$D$18</f>
        <v>62.5</v>
      </c>
      <c r="X133" s="33" t="n">
        <f aca="false">$P133*Assumptions!$E$18</f>
        <v>0</v>
      </c>
      <c r="Y133" s="33" t="n">
        <f aca="false">$P133*Assumptions!$F$18</f>
        <v>0</v>
      </c>
      <c r="Z133" s="33" t="n">
        <f aca="false">$P133*Assumptions!$G$18</f>
        <v>125</v>
      </c>
    </row>
    <row r="134" customFormat="false" ht="15" hidden="false" customHeight="false" outlineLevel="0" collapsed="false">
      <c r="B134" s="4" t="s">
        <v>195</v>
      </c>
      <c r="C134" s="31" t="n">
        <f aca="false">Assumptions!$C$5</f>
        <v>100</v>
      </c>
      <c r="D134" s="34"/>
      <c r="I134" s="33" t="n">
        <f aca="false">$C134*Assumptions!$C$17</f>
        <v>100</v>
      </c>
      <c r="J134" s="33" t="n">
        <f aca="false">$C134*Assumptions!$D$17</f>
        <v>15</v>
      </c>
      <c r="K134" s="33" t="n">
        <f aca="false">$C134*Assumptions!$E$17</f>
        <v>5</v>
      </c>
      <c r="L134" s="33" t="n">
        <f aca="false">$C134*Assumptions!$F$17</f>
        <v>5</v>
      </c>
      <c r="M134" s="33" t="n">
        <f aca="false">$C134*Assumptions!$G$17</f>
        <v>125</v>
      </c>
      <c r="O134" s="4" t="s">
        <v>219</v>
      </c>
      <c r="P134" s="31" t="n">
        <f aca="false">Assumptions!$C$11*Assumptions!$C$5*Assumptions!$C$6</f>
        <v>62.5</v>
      </c>
      <c r="Q134" s="34"/>
      <c r="W134" s="33" t="n">
        <f aca="false">$P134*Assumptions!$C$18</f>
        <v>62.5</v>
      </c>
      <c r="X134" s="33" t="n">
        <f aca="false">$P134*Assumptions!$D$18</f>
        <v>62.5</v>
      </c>
      <c r="Y134" s="33" t="n">
        <f aca="false">$P134*Assumptions!$E$18</f>
        <v>0</v>
      </c>
      <c r="Z134" s="33" t="n">
        <f aca="false">$P134*Assumptions!$G$18</f>
        <v>125</v>
      </c>
    </row>
    <row r="135" customFormat="false" ht="15" hidden="false" customHeight="false" outlineLevel="0" collapsed="false">
      <c r="B135" s="4" t="s">
        <v>197</v>
      </c>
      <c r="C135" s="31" t="n">
        <f aca="false">Assumptions!$C$5</f>
        <v>100</v>
      </c>
      <c r="D135" s="34"/>
      <c r="J135" s="33" t="n">
        <f aca="false">$C135*Assumptions!$C$17</f>
        <v>100</v>
      </c>
      <c r="K135" s="33" t="n">
        <f aca="false">$C135*Assumptions!$D$17</f>
        <v>15</v>
      </c>
      <c r="L135" s="33" t="n">
        <f aca="false">$C135*Assumptions!$E$17</f>
        <v>5</v>
      </c>
      <c r="M135" s="33" t="n">
        <f aca="false">$C135*Assumptions!$G$17</f>
        <v>125</v>
      </c>
      <c r="O135" s="4" t="s">
        <v>220</v>
      </c>
      <c r="P135" s="31" t="n">
        <f aca="false">Assumptions!$C$11*Assumptions!$C$5*Assumptions!$C$6</f>
        <v>62.5</v>
      </c>
      <c r="Q135" s="34"/>
      <c r="X135" s="33" t="n">
        <f aca="false">$P135*Assumptions!$C$18</f>
        <v>62.5</v>
      </c>
      <c r="Y135" s="33" t="n">
        <f aca="false">$P135*Assumptions!$D$18</f>
        <v>62.5</v>
      </c>
      <c r="Z135" s="33" t="n">
        <f aca="false">$P135*Assumptions!$G$18</f>
        <v>125</v>
      </c>
    </row>
    <row r="136" customFormat="false" ht="15" hidden="false" customHeight="false" outlineLevel="0" collapsed="false">
      <c r="B136" s="4" t="s">
        <v>199</v>
      </c>
      <c r="C136" s="31" t="n">
        <f aca="false">Assumptions!$C$5</f>
        <v>100</v>
      </c>
      <c r="D136" s="34"/>
      <c r="K136" s="33" t="n">
        <f aca="false">$C136*Assumptions!$C$17</f>
        <v>100</v>
      </c>
      <c r="L136" s="33" t="n">
        <f aca="false">$C136*Assumptions!$D$17</f>
        <v>15</v>
      </c>
      <c r="M136" s="33" t="n">
        <f aca="false">$C136*Assumptions!$G$17</f>
        <v>125</v>
      </c>
      <c r="O136" s="4" t="s">
        <v>221</v>
      </c>
      <c r="P136" s="31" t="n">
        <f aca="false">Assumptions!$C$11*Assumptions!$C$5*Assumptions!$C$6</f>
        <v>62.5</v>
      </c>
      <c r="Q136" s="34"/>
      <c r="Y136" s="33" t="n">
        <f aca="false">$P136*Assumptions!$C$18</f>
        <v>62.5</v>
      </c>
      <c r="Z136" s="33" t="n">
        <f aca="false">$P136*Assumptions!$G$18</f>
        <v>125</v>
      </c>
    </row>
    <row r="137" customFormat="false" ht="15" hidden="false" customHeight="false" outlineLevel="0" collapsed="false">
      <c r="B137" s="4" t="s">
        <v>201</v>
      </c>
      <c r="C137" s="31" t="n">
        <f aca="false">Assumptions!$C$5</f>
        <v>100</v>
      </c>
      <c r="D137" s="34"/>
      <c r="L137" s="33" t="n">
        <f aca="false">$C137*Assumptions!$C$17</f>
        <v>100</v>
      </c>
      <c r="M137" s="33" t="n">
        <f aca="false">$C137*Assumptions!$G$17</f>
        <v>125</v>
      </c>
      <c r="O137" s="8" t="s">
        <v>203</v>
      </c>
      <c r="P137" s="8" t="s">
        <v>204</v>
      </c>
      <c r="Q137" s="35" t="n">
        <f aca="false">Q127+SUM(Q128:Q136)</f>
        <v>125</v>
      </c>
      <c r="R137" s="13" t="n">
        <f aca="false">R127+SUM(R128:R136)</f>
        <v>125</v>
      </c>
      <c r="S137" s="13" t="n">
        <f aca="false">S127+SUM(S128:S136)</f>
        <v>125</v>
      </c>
      <c r="T137" s="13" t="n">
        <f aca="false">T127+SUM(T128:T136)</f>
        <v>125</v>
      </c>
      <c r="U137" s="13" t="n">
        <f aca="false">U127+SUM(U128:U136)</f>
        <v>125</v>
      </c>
      <c r="V137" s="13" t="n">
        <f aca="false">V127+SUM(V128:V136)</f>
        <v>125</v>
      </c>
      <c r="W137" s="13" t="n">
        <f aca="false">W127+SUM(W128:W136)</f>
        <v>125</v>
      </c>
      <c r="X137" s="13" t="n">
        <f aca="false">X127+SUM(X128:X136)</f>
        <v>125</v>
      </c>
      <c r="Y137" s="13" t="n">
        <f aca="false">Y127+SUM(Y128:Y136)</f>
        <v>125</v>
      </c>
      <c r="Z137" s="13" t="n">
        <f aca="false">SUM(Z128:Z136)</f>
        <v>1112.5</v>
      </c>
    </row>
    <row r="138" customFormat="false" ht="15" hidden="false" customHeight="false" outlineLevel="0" collapsed="false">
      <c r="B138" s="8" t="s">
        <v>203</v>
      </c>
      <c r="C138" s="8" t="s">
        <v>204</v>
      </c>
      <c r="D138" s="35" t="n">
        <f aca="false">D127+SUM(D128:D137)</f>
        <v>125</v>
      </c>
      <c r="E138" s="13" t="n">
        <f aca="false">E127+SUM(E128:E137)</f>
        <v>125</v>
      </c>
      <c r="F138" s="13" t="n">
        <f aca="false">F127+SUM(F128:F137)</f>
        <v>125</v>
      </c>
      <c r="G138" s="13" t="n">
        <f aca="false">G127+SUM(G128:G137)</f>
        <v>125</v>
      </c>
      <c r="H138" s="13" t="n">
        <f aca="false">H127+SUM(H128:H137)</f>
        <v>125</v>
      </c>
      <c r="I138" s="13" t="n">
        <f aca="false">I127+SUM(I128:I137)</f>
        <v>125</v>
      </c>
      <c r="J138" s="13" t="n">
        <f aca="false">J127+SUM(J128:J137)</f>
        <v>125</v>
      </c>
      <c r="K138" s="13" t="n">
        <f aca="false">K127+SUM(K128:K137)</f>
        <v>125</v>
      </c>
      <c r="L138" s="13" t="n">
        <f aca="false">L127+SUM(L128:L137)</f>
        <v>125</v>
      </c>
      <c r="M138" s="13" t="n">
        <f aca="false">SUM(M128:M137)</f>
        <v>1090</v>
      </c>
      <c r="O138" s="2" t="s">
        <v>205</v>
      </c>
      <c r="Q138" s="36" t="n">
        <f aca="false">Q137/Q126</f>
        <v>1</v>
      </c>
      <c r="R138" s="37" t="n">
        <f aca="false">R137/R126</f>
        <v>1</v>
      </c>
      <c r="S138" s="37" t="n">
        <f aca="false">S137/S126</f>
        <v>1</v>
      </c>
      <c r="T138" s="37" t="n">
        <f aca="false">T137/T126</f>
        <v>1</v>
      </c>
      <c r="U138" s="37" t="n">
        <f aca="false">U137/U126</f>
        <v>1</v>
      </c>
      <c r="V138" s="37" t="n">
        <f aca="false">V137/V126</f>
        <v>1</v>
      </c>
      <c r="W138" s="37" t="n">
        <f aca="false">W137/W126</f>
        <v>1</v>
      </c>
      <c r="X138" s="37" t="n">
        <f aca="false">X137/X126</f>
        <v>1</v>
      </c>
      <c r="Y138" s="37" t="n">
        <f aca="false">Y137/Y126</f>
        <v>1</v>
      </c>
    </row>
    <row r="139" customFormat="false" ht="15" hidden="false" customHeight="false" outlineLevel="0" collapsed="false">
      <c r="B139" s="2" t="s">
        <v>205</v>
      </c>
      <c r="D139" s="36" t="n">
        <f aca="false">D138/D126</f>
        <v>1</v>
      </c>
      <c r="E139" s="37" t="n">
        <f aca="false">E138/E126</f>
        <v>1</v>
      </c>
      <c r="F139" s="37" t="n">
        <f aca="false">F138/F126</f>
        <v>1</v>
      </c>
      <c r="G139" s="37" t="n">
        <f aca="false">G138/G126</f>
        <v>1</v>
      </c>
      <c r="H139" s="37" t="n">
        <f aca="false">H138/H126</f>
        <v>1</v>
      </c>
      <c r="I139" s="37" t="n">
        <f aca="false">I138/I126</f>
        <v>1</v>
      </c>
      <c r="J139" s="37" t="n">
        <f aca="false">J138/J126</f>
        <v>1</v>
      </c>
      <c r="K139" s="37" t="n">
        <f aca="false">K138/K126</f>
        <v>1</v>
      </c>
      <c r="L139" s="37" t="n">
        <f aca="false">L138/L126</f>
        <v>1</v>
      </c>
      <c r="O139" s="2" t="s">
        <v>206</v>
      </c>
      <c r="Q139" s="38" t="n">
        <f aca="false">Q137-Assumptions!$C$5</f>
        <v>25</v>
      </c>
      <c r="R139" s="39" t="n">
        <f aca="false">R137-Q137</f>
        <v>0</v>
      </c>
      <c r="S139" s="39" t="n">
        <f aca="false">S137-R137</f>
        <v>0</v>
      </c>
      <c r="T139" s="39" t="n">
        <f aca="false">T137-S137</f>
        <v>0</v>
      </c>
      <c r="U139" s="39" t="n">
        <f aca="false">U137-T137</f>
        <v>0</v>
      </c>
      <c r="V139" s="39" t="n">
        <f aca="false">V137-U137</f>
        <v>0</v>
      </c>
      <c r="W139" s="39" t="n">
        <f aca="false">W137-V137</f>
        <v>0</v>
      </c>
      <c r="X139" s="39" t="n">
        <f aca="false">X137-W137</f>
        <v>0</v>
      </c>
      <c r="Y139" s="39" t="n">
        <f aca="false">Y137-X137</f>
        <v>0</v>
      </c>
    </row>
    <row r="140" customFormat="false" ht="15" hidden="false" customHeight="false" outlineLevel="0" collapsed="false">
      <c r="B140" s="2" t="s">
        <v>206</v>
      </c>
      <c r="D140" s="38" t="n">
        <f aca="false">D138-Assumptions!$C$5</f>
        <v>25</v>
      </c>
      <c r="E140" s="39" t="n">
        <f aca="false">E138-D138</f>
        <v>0</v>
      </c>
      <c r="F140" s="39" t="n">
        <f aca="false">F138-E138</f>
        <v>0</v>
      </c>
      <c r="G140" s="39" t="n">
        <f aca="false">G138-F138</f>
        <v>0</v>
      </c>
      <c r="H140" s="39" t="n">
        <f aca="false">H138-G138</f>
        <v>0</v>
      </c>
      <c r="I140" s="39" t="n">
        <f aca="false">I138-H138</f>
        <v>0</v>
      </c>
      <c r="J140" s="39" t="n">
        <f aca="false">J138-I138</f>
        <v>0</v>
      </c>
      <c r="K140" s="39" t="n">
        <f aca="false">K138-J138</f>
        <v>0</v>
      </c>
      <c r="L140" s="39" t="n">
        <f aca="false">L138-K138</f>
        <v>0</v>
      </c>
      <c r="Q140" s="34"/>
    </row>
    <row r="141" customFormat="false" ht="15" hidden="false" customHeight="false" outlineLevel="0" collapsed="false">
      <c r="D141" s="34"/>
    </row>
    <row r="144" customFormat="false" ht="15" hidden="false" customHeight="false" outlineLevel="0" collapsed="false">
      <c r="B144" s="3" t="s">
        <v>236</v>
      </c>
    </row>
    <row r="145" customFormat="false" ht="15" hidden="false" customHeight="false" outlineLevel="0" collapsed="false">
      <c r="B145" s="5" t="s">
        <v>180</v>
      </c>
      <c r="C145" s="7" t="s">
        <v>181</v>
      </c>
      <c r="D145" s="7" t="s">
        <v>91</v>
      </c>
      <c r="E145" s="7" t="s">
        <v>92</v>
      </c>
      <c r="F145" s="7" t="s">
        <v>93</v>
      </c>
      <c r="G145" s="7" t="s">
        <v>94</v>
      </c>
      <c r="H145" s="7" t="s">
        <v>95</v>
      </c>
      <c r="I145" s="7" t="s">
        <v>96</v>
      </c>
      <c r="J145" s="7" t="s">
        <v>97</v>
      </c>
      <c r="K145" s="7" t="s">
        <v>98</v>
      </c>
      <c r="L145" s="7" t="s">
        <v>99</v>
      </c>
      <c r="M145" s="7" t="s">
        <v>100</v>
      </c>
      <c r="O145" s="25" t="s">
        <v>182</v>
      </c>
      <c r="P145" s="26" t="s">
        <v>181</v>
      </c>
      <c r="Q145" s="26" t="s">
        <v>91</v>
      </c>
      <c r="R145" s="26" t="s">
        <v>92</v>
      </c>
      <c r="S145" s="26" t="s">
        <v>93</v>
      </c>
      <c r="T145" s="26" t="s">
        <v>94</v>
      </c>
      <c r="U145" s="26" t="s">
        <v>95</v>
      </c>
      <c r="V145" s="26" t="s">
        <v>96</v>
      </c>
      <c r="W145" s="26" t="s">
        <v>97</v>
      </c>
      <c r="X145" s="26" t="s">
        <v>98</v>
      </c>
      <c r="Y145" s="26" t="s">
        <v>99</v>
      </c>
      <c r="Z145" s="26" t="s">
        <v>100</v>
      </c>
    </row>
    <row r="146" customFormat="false" ht="15" hidden="false" customHeight="false" outlineLevel="0" collapsed="false">
      <c r="B146" s="2" t="s">
        <v>183</v>
      </c>
      <c r="D146" s="28" t="n">
        <f aca="false">Assumptions!$C$5*Assumptions!$C$6</f>
        <v>125</v>
      </c>
      <c r="E146" s="27" t="n">
        <f aca="false">Assumptions!$C$5*Assumptions!$C$6</f>
        <v>125</v>
      </c>
      <c r="F146" s="28" t="n">
        <f aca="false">Assumptions!$C$5*Assumptions!$C$6</f>
        <v>125</v>
      </c>
      <c r="G146" s="28" t="n">
        <f aca="false">Assumptions!$C$5*Assumptions!$C$6</f>
        <v>125</v>
      </c>
      <c r="H146" s="28" t="n">
        <f aca="false">Assumptions!$C$5*Assumptions!$C$6</f>
        <v>125</v>
      </c>
      <c r="I146" s="28" t="n">
        <f aca="false">Assumptions!$C$5*Assumptions!$C$6</f>
        <v>125</v>
      </c>
      <c r="J146" s="28" t="n">
        <f aca="false">Assumptions!$C$5*Assumptions!$C$6</f>
        <v>125</v>
      </c>
      <c r="K146" s="28" t="n">
        <f aca="false">Assumptions!$C$5*Assumptions!$C$6</f>
        <v>125</v>
      </c>
      <c r="L146" s="28" t="n">
        <f aca="false">Assumptions!$C$5*Assumptions!$C$6</f>
        <v>125</v>
      </c>
      <c r="O146" s="2" t="s">
        <v>183</v>
      </c>
      <c r="Q146" s="28" t="n">
        <f aca="false">Assumptions!$C$5*Assumptions!$C$6</f>
        <v>125</v>
      </c>
      <c r="R146" s="27" t="n">
        <f aca="false">Assumptions!$C$5*Assumptions!$C$6</f>
        <v>125</v>
      </c>
      <c r="S146" s="28" t="n">
        <f aca="false">Assumptions!$C$5*Assumptions!$C$6</f>
        <v>125</v>
      </c>
      <c r="T146" s="28" t="n">
        <f aca="false">Assumptions!$C$5*Assumptions!$C$6</f>
        <v>125</v>
      </c>
      <c r="U146" s="28" t="n">
        <f aca="false">Assumptions!$C$5*Assumptions!$C$6</f>
        <v>125</v>
      </c>
      <c r="V146" s="28" t="n">
        <f aca="false">Assumptions!$C$5*Assumptions!$C$6</f>
        <v>125</v>
      </c>
      <c r="W146" s="28" t="n">
        <f aca="false">Assumptions!$C$5*Assumptions!$C$6</f>
        <v>125</v>
      </c>
      <c r="X146" s="28" t="n">
        <f aca="false">Assumptions!$C$5*Assumptions!$C$6</f>
        <v>125</v>
      </c>
      <c r="Y146" s="28" t="n">
        <f aca="false">Assumptions!$C$5*Assumptions!$C$6</f>
        <v>125</v>
      </c>
    </row>
    <row r="147" customFormat="false" ht="15" hidden="false" customHeight="false" outlineLevel="0" collapsed="false">
      <c r="B147" s="4" t="s">
        <v>184</v>
      </c>
      <c r="D147" s="30" t="n">
        <v>150</v>
      </c>
      <c r="E147" s="29" t="n">
        <v>125</v>
      </c>
      <c r="F147" s="30" t="n">
        <v>0</v>
      </c>
      <c r="G147" s="30" t="n">
        <v>0</v>
      </c>
      <c r="H147" s="30" t="n">
        <v>0</v>
      </c>
      <c r="I147" s="30" t="n">
        <v>0</v>
      </c>
      <c r="J147" s="30" t="n">
        <v>0</v>
      </c>
      <c r="K147" s="30" t="n">
        <v>0</v>
      </c>
      <c r="L147" s="30" t="n">
        <v>0</v>
      </c>
      <c r="O147" s="4" t="s">
        <v>184</v>
      </c>
      <c r="Q147" s="30" t="n">
        <v>150</v>
      </c>
      <c r="R147" s="29" t="n">
        <v>125</v>
      </c>
      <c r="S147" s="30" t="n">
        <v>0</v>
      </c>
      <c r="T147" s="30" t="n">
        <v>0</v>
      </c>
      <c r="U147" s="30" t="n">
        <v>0</v>
      </c>
      <c r="V147" s="30" t="n">
        <v>0</v>
      </c>
      <c r="W147" s="30" t="n">
        <v>0</v>
      </c>
      <c r="X147" s="30" t="n">
        <v>0</v>
      </c>
      <c r="Y147" s="30" t="n">
        <v>0</v>
      </c>
    </row>
    <row r="148" customFormat="false" ht="15" hidden="false" customHeight="false" outlineLevel="0" collapsed="false">
      <c r="B148" s="4" t="s">
        <v>208</v>
      </c>
      <c r="C148" s="31" t="n">
        <f aca="false">MAX(Assumptions!$C$5*Assumptions!$C$12,D146-(D147))</f>
        <v>25</v>
      </c>
      <c r="D148" s="33" t="n">
        <f aca="false">$C148*Assumptions!$C$23</f>
        <v>25</v>
      </c>
      <c r="E148" s="32" t="n">
        <f aca="false">$C148*Assumptions!$D$23</f>
        <v>3.75</v>
      </c>
      <c r="F148" s="33" t="n">
        <f aca="false">$C148*Assumptions!$E$23</f>
        <v>1.25</v>
      </c>
      <c r="G148" s="33" t="n">
        <f aca="false">$C148*Assumptions!$F$23</f>
        <v>1.25</v>
      </c>
      <c r="M148" s="33" t="n">
        <f aca="false">$C148*Assumptions!$G$23</f>
        <v>31.25</v>
      </c>
      <c r="O148" s="4" t="s">
        <v>209</v>
      </c>
      <c r="P148" s="31" t="n">
        <f aca="false">MAX(Assumptions!$C$5*Assumptions!$C$12,Q146-(Q147))</f>
        <v>25</v>
      </c>
      <c r="Q148" s="33" t="n">
        <f aca="false">$P148*Assumptions!$C$21</f>
        <v>25</v>
      </c>
      <c r="R148" s="32" t="n">
        <f aca="false">$P148*Assumptions!$D$21</f>
        <v>0</v>
      </c>
      <c r="S148" s="33" t="n">
        <f aca="false">$P148*Assumptions!$E$21</f>
        <v>0</v>
      </c>
      <c r="T148" s="33" t="n">
        <f aca="false">$P148*Assumptions!$F$21</f>
        <v>0</v>
      </c>
      <c r="Z148" s="33" t="n">
        <f aca="false">$P148*Assumptions!$G$21</f>
        <v>25</v>
      </c>
    </row>
    <row r="149" customFormat="false" ht="15" hidden="false" customHeight="false" outlineLevel="0" collapsed="false">
      <c r="B149" s="4" t="s">
        <v>237</v>
      </c>
      <c r="C149" s="31" t="n">
        <f aca="false">MAX(Assumptions!$C$5*Assumptions!$C$12,E146-(E147))</f>
        <v>25</v>
      </c>
      <c r="E149" s="32" t="n">
        <f aca="false">$C149*Assumptions!$C$21</f>
        <v>25</v>
      </c>
      <c r="F149" s="33" t="n">
        <f aca="false">$C149*Assumptions!$D$21</f>
        <v>0</v>
      </c>
      <c r="G149" s="33" t="n">
        <f aca="false">$C149*Assumptions!$E$21</f>
        <v>0</v>
      </c>
      <c r="H149" s="33" t="n">
        <f aca="false">$C149*Assumptions!$F$21</f>
        <v>0</v>
      </c>
      <c r="M149" s="33" t="n">
        <f aca="false">$C149*Assumptions!$G$21</f>
        <v>25</v>
      </c>
      <c r="O149" s="4" t="s">
        <v>238</v>
      </c>
      <c r="P149" s="31" t="n">
        <f aca="false">MAX(Assumptions!$C$5*Assumptions!$C$12,R146-(R147))</f>
        <v>25</v>
      </c>
      <c r="R149" s="32" t="n">
        <f aca="false">$P149*Assumptions!$C$21</f>
        <v>25</v>
      </c>
      <c r="S149" s="33" t="n">
        <f aca="false">$P149*Assumptions!$D$21</f>
        <v>0</v>
      </c>
      <c r="T149" s="33" t="n">
        <f aca="false">$P149*Assumptions!$E$21</f>
        <v>0</v>
      </c>
      <c r="U149" s="33" t="n">
        <f aca="false">$P149*Assumptions!$F$21</f>
        <v>0</v>
      </c>
      <c r="Z149" s="33" t="n">
        <f aca="false">$P149*Assumptions!$G$21</f>
        <v>25</v>
      </c>
    </row>
    <row r="150" customFormat="false" ht="15" hidden="false" customHeight="false" outlineLevel="0" collapsed="false">
      <c r="B150" s="4" t="s">
        <v>239</v>
      </c>
      <c r="C150" s="31" t="n">
        <f aca="false">Assumptions!$C$5</f>
        <v>100</v>
      </c>
      <c r="E150" s="32" t="n">
        <f aca="false">$C150*Assumptions!$C$22</f>
        <v>0</v>
      </c>
      <c r="F150" s="33" t="n">
        <f aca="false">$C150*Assumptions!$D$22</f>
        <v>25</v>
      </c>
      <c r="G150" s="33" t="n">
        <f aca="false">$C150*Assumptions!$E$22</f>
        <v>10</v>
      </c>
      <c r="H150" s="33" t="n">
        <f aca="false">$C150*Assumptions!$F$22</f>
        <v>5</v>
      </c>
      <c r="M150" s="33" t="n">
        <f aca="false">$C150*Assumptions!$G$22</f>
        <v>40</v>
      </c>
      <c r="O150" s="4" t="s">
        <v>240</v>
      </c>
      <c r="P150" s="31" t="n">
        <f aca="false">Assumptions!$C$5*Assumptions!$C$6</f>
        <v>125</v>
      </c>
      <c r="R150" s="32" t="n">
        <f aca="false">$P150*Assumptions!$C$20</f>
        <v>0</v>
      </c>
      <c r="S150" s="33" t="n">
        <f aca="false">$P150*Assumptions!$D$20</f>
        <v>125</v>
      </c>
      <c r="T150" s="33" t="n">
        <f aca="false">$P150*Assumptions!$E$20</f>
        <v>62.5</v>
      </c>
      <c r="U150" s="33" t="n">
        <f aca="false">$P150*Assumptions!$F$20</f>
        <v>0</v>
      </c>
      <c r="Z150" s="33" t="n">
        <f aca="false">$P150*Assumptions!$G$20</f>
        <v>187.5</v>
      </c>
    </row>
    <row r="151" customFormat="false" ht="15" hidden="false" customHeight="false" outlineLevel="0" collapsed="false">
      <c r="B151" s="4" t="s">
        <v>189</v>
      </c>
      <c r="C151" s="31" t="n">
        <f aca="false">Assumptions!$C$5</f>
        <v>100</v>
      </c>
      <c r="E151" s="34"/>
      <c r="F151" s="33" t="n">
        <f aca="false">$C151*Assumptions!$C$17</f>
        <v>100</v>
      </c>
      <c r="G151" s="33" t="n">
        <f aca="false">$C151*Assumptions!$D$17</f>
        <v>15</v>
      </c>
      <c r="H151" s="33" t="n">
        <f aca="false">$C151*Assumptions!$E$17</f>
        <v>5</v>
      </c>
      <c r="I151" s="33" t="n">
        <f aca="false">$C151*Assumptions!$F$17</f>
        <v>5</v>
      </c>
      <c r="M151" s="33" t="n">
        <f aca="false">$C151*Assumptions!$G$17</f>
        <v>125</v>
      </c>
      <c r="O151" s="4" t="s">
        <v>234</v>
      </c>
      <c r="P151" s="31" t="n">
        <f aca="false">Assumptions!$C$11*Assumptions!$C$5*Assumptions!$C$6</f>
        <v>62.5</v>
      </c>
      <c r="R151" s="34"/>
      <c r="T151" s="33" t="n">
        <f aca="false">$P151*Assumptions!$C$18</f>
        <v>62.5</v>
      </c>
      <c r="U151" s="33" t="n">
        <f aca="false">$P151*Assumptions!$D$18</f>
        <v>62.5</v>
      </c>
      <c r="V151" s="33" t="n">
        <f aca="false">$P151*Assumptions!$E$18</f>
        <v>0</v>
      </c>
      <c r="W151" s="33" t="n">
        <f aca="false">$P151*Assumptions!$F$18</f>
        <v>0</v>
      </c>
      <c r="Z151" s="33" t="n">
        <f aca="false">$P151*Assumptions!$G$18</f>
        <v>125</v>
      </c>
    </row>
    <row r="152" customFormat="false" ht="15" hidden="false" customHeight="false" outlineLevel="0" collapsed="false">
      <c r="B152" s="4" t="s">
        <v>191</v>
      </c>
      <c r="C152" s="31" t="n">
        <f aca="false">Assumptions!$C$5</f>
        <v>100</v>
      </c>
      <c r="E152" s="34"/>
      <c r="G152" s="33" t="n">
        <f aca="false">$C152*Assumptions!$C$17</f>
        <v>100</v>
      </c>
      <c r="H152" s="33" t="n">
        <f aca="false">$C152*Assumptions!$D$17</f>
        <v>15</v>
      </c>
      <c r="I152" s="33" t="n">
        <f aca="false">$C152*Assumptions!$E$17</f>
        <v>5</v>
      </c>
      <c r="J152" s="33" t="n">
        <f aca="false">$C152*Assumptions!$F$17</f>
        <v>5</v>
      </c>
      <c r="M152" s="33" t="n">
        <f aca="false">$C152*Assumptions!$G$17</f>
        <v>125</v>
      </c>
      <c r="O152" s="4" t="s">
        <v>217</v>
      </c>
      <c r="P152" s="31" t="n">
        <f aca="false">Assumptions!$C$11*Assumptions!$C$5*Assumptions!$C$6</f>
        <v>62.5</v>
      </c>
      <c r="R152" s="34"/>
      <c r="U152" s="33" t="n">
        <f aca="false">$P152*Assumptions!$C$18</f>
        <v>62.5</v>
      </c>
      <c r="V152" s="33" t="n">
        <f aca="false">$P152*Assumptions!$D$18</f>
        <v>62.5</v>
      </c>
      <c r="W152" s="33" t="n">
        <f aca="false">$P152*Assumptions!$E$18</f>
        <v>0</v>
      </c>
      <c r="X152" s="33" t="n">
        <f aca="false">$P152*Assumptions!$F$18</f>
        <v>0</v>
      </c>
      <c r="Z152" s="33" t="n">
        <f aca="false">$P152*Assumptions!$G$18</f>
        <v>125</v>
      </c>
    </row>
    <row r="153" customFormat="false" ht="15" hidden="false" customHeight="false" outlineLevel="0" collapsed="false">
      <c r="B153" s="4" t="s">
        <v>193</v>
      </c>
      <c r="C153" s="31" t="n">
        <f aca="false">Assumptions!$C$5</f>
        <v>100</v>
      </c>
      <c r="E153" s="34"/>
      <c r="H153" s="33" t="n">
        <f aca="false">$C153*Assumptions!$C$17</f>
        <v>100</v>
      </c>
      <c r="I153" s="33" t="n">
        <f aca="false">$C153*Assumptions!$D$17</f>
        <v>15</v>
      </c>
      <c r="J153" s="33" t="n">
        <f aca="false">$C153*Assumptions!$E$17</f>
        <v>5</v>
      </c>
      <c r="K153" s="33" t="n">
        <f aca="false">$C153*Assumptions!$F$17</f>
        <v>5</v>
      </c>
      <c r="M153" s="33" t="n">
        <f aca="false">$C153*Assumptions!$G$17</f>
        <v>125</v>
      </c>
      <c r="O153" s="4" t="s">
        <v>218</v>
      </c>
      <c r="P153" s="31" t="n">
        <f aca="false">Assumptions!$C$11*Assumptions!$C$5*Assumptions!$C$6</f>
        <v>62.5</v>
      </c>
      <c r="R153" s="34"/>
      <c r="V153" s="33" t="n">
        <f aca="false">$P153*Assumptions!$C$18</f>
        <v>62.5</v>
      </c>
      <c r="W153" s="33" t="n">
        <f aca="false">$P153*Assumptions!$D$18</f>
        <v>62.5</v>
      </c>
      <c r="X153" s="33" t="n">
        <f aca="false">$P153*Assumptions!$E$18</f>
        <v>0</v>
      </c>
      <c r="Y153" s="33" t="n">
        <f aca="false">$P153*Assumptions!$F$18</f>
        <v>0</v>
      </c>
      <c r="Z153" s="33" t="n">
        <f aca="false">$P153*Assumptions!$G$18</f>
        <v>125</v>
      </c>
    </row>
    <row r="154" customFormat="false" ht="15" hidden="false" customHeight="false" outlineLevel="0" collapsed="false">
      <c r="B154" s="4" t="s">
        <v>195</v>
      </c>
      <c r="C154" s="31" t="n">
        <f aca="false">Assumptions!$C$5</f>
        <v>100</v>
      </c>
      <c r="E154" s="34"/>
      <c r="I154" s="33" t="n">
        <f aca="false">$C154*Assumptions!$C$17</f>
        <v>100</v>
      </c>
      <c r="J154" s="33" t="n">
        <f aca="false">$C154*Assumptions!$D$17</f>
        <v>15</v>
      </c>
      <c r="K154" s="33" t="n">
        <f aca="false">$C154*Assumptions!$E$17</f>
        <v>5</v>
      </c>
      <c r="L154" s="33" t="n">
        <f aca="false">$C154*Assumptions!$F$17</f>
        <v>5</v>
      </c>
      <c r="M154" s="33" t="n">
        <f aca="false">$C154*Assumptions!$G$17</f>
        <v>125</v>
      </c>
      <c r="O154" s="4" t="s">
        <v>219</v>
      </c>
      <c r="P154" s="31" t="n">
        <f aca="false">Assumptions!$C$11*Assumptions!$C$5*Assumptions!$C$6</f>
        <v>62.5</v>
      </c>
      <c r="R154" s="34"/>
      <c r="W154" s="33" t="n">
        <f aca="false">$P154*Assumptions!$C$18</f>
        <v>62.5</v>
      </c>
      <c r="X154" s="33" t="n">
        <f aca="false">$P154*Assumptions!$D$18</f>
        <v>62.5</v>
      </c>
      <c r="Y154" s="33" t="n">
        <f aca="false">$P154*Assumptions!$E$18</f>
        <v>0</v>
      </c>
      <c r="Z154" s="33" t="n">
        <f aca="false">$P154*Assumptions!$G$18</f>
        <v>125</v>
      </c>
    </row>
    <row r="155" customFormat="false" ht="15" hidden="false" customHeight="false" outlineLevel="0" collapsed="false">
      <c r="B155" s="4" t="s">
        <v>197</v>
      </c>
      <c r="C155" s="31" t="n">
        <f aca="false">Assumptions!$C$5</f>
        <v>100</v>
      </c>
      <c r="E155" s="34"/>
      <c r="J155" s="33" t="n">
        <f aca="false">$C155*Assumptions!$C$17</f>
        <v>100</v>
      </c>
      <c r="K155" s="33" t="n">
        <f aca="false">$C155*Assumptions!$D$17</f>
        <v>15</v>
      </c>
      <c r="L155" s="33" t="n">
        <f aca="false">$C155*Assumptions!$E$17</f>
        <v>5</v>
      </c>
      <c r="M155" s="33" t="n">
        <f aca="false">$C155*Assumptions!$G$17</f>
        <v>125</v>
      </c>
      <c r="O155" s="4" t="s">
        <v>220</v>
      </c>
      <c r="P155" s="31" t="n">
        <f aca="false">Assumptions!$C$11*Assumptions!$C$5*Assumptions!$C$6</f>
        <v>62.5</v>
      </c>
      <c r="R155" s="34"/>
      <c r="X155" s="33" t="n">
        <f aca="false">$P155*Assumptions!$C$18</f>
        <v>62.5</v>
      </c>
      <c r="Y155" s="33" t="n">
        <f aca="false">$P155*Assumptions!$D$18</f>
        <v>62.5</v>
      </c>
      <c r="Z155" s="33" t="n">
        <f aca="false">$P155*Assumptions!$G$18</f>
        <v>125</v>
      </c>
    </row>
    <row r="156" customFormat="false" ht="15" hidden="false" customHeight="false" outlineLevel="0" collapsed="false">
      <c r="B156" s="4" t="s">
        <v>199</v>
      </c>
      <c r="C156" s="31" t="n">
        <f aca="false">Assumptions!$C$5</f>
        <v>100</v>
      </c>
      <c r="E156" s="34"/>
      <c r="K156" s="33" t="n">
        <f aca="false">$C156*Assumptions!$C$17</f>
        <v>100</v>
      </c>
      <c r="L156" s="33" t="n">
        <f aca="false">$C156*Assumptions!$D$17</f>
        <v>15</v>
      </c>
      <c r="M156" s="33" t="n">
        <f aca="false">$C156*Assumptions!$G$17</f>
        <v>125</v>
      </c>
      <c r="O156" s="4" t="s">
        <v>221</v>
      </c>
      <c r="P156" s="31" t="n">
        <f aca="false">Assumptions!$C$11*Assumptions!$C$5*Assumptions!$C$6</f>
        <v>62.5</v>
      </c>
      <c r="R156" s="34"/>
      <c r="Y156" s="33" t="n">
        <f aca="false">$P156*Assumptions!$C$18</f>
        <v>62.5</v>
      </c>
      <c r="Z156" s="33" t="n">
        <f aca="false">$P156*Assumptions!$G$18</f>
        <v>125</v>
      </c>
    </row>
    <row r="157" customFormat="false" ht="15" hidden="false" customHeight="false" outlineLevel="0" collapsed="false">
      <c r="B157" s="4" t="s">
        <v>201</v>
      </c>
      <c r="C157" s="31" t="n">
        <f aca="false">Assumptions!$C$5</f>
        <v>100</v>
      </c>
      <c r="E157" s="34"/>
      <c r="L157" s="33" t="n">
        <f aca="false">$C157*Assumptions!$C$17</f>
        <v>100</v>
      </c>
      <c r="M157" s="33" t="n">
        <f aca="false">$C157*Assumptions!$G$17</f>
        <v>125</v>
      </c>
      <c r="O157" s="8" t="s">
        <v>203</v>
      </c>
      <c r="P157" s="8" t="s">
        <v>204</v>
      </c>
      <c r="Q157" s="13" t="n">
        <f aca="false">Q147+SUM(Q148:Q156)</f>
        <v>175</v>
      </c>
      <c r="R157" s="35" t="n">
        <f aca="false">R147+SUM(R148:R156)</f>
        <v>150</v>
      </c>
      <c r="S157" s="13" t="n">
        <f aca="false">S147+SUM(S148:S156)</f>
        <v>125</v>
      </c>
      <c r="T157" s="13" t="n">
        <f aca="false">T147+SUM(T148:T156)</f>
        <v>125</v>
      </c>
      <c r="U157" s="13" t="n">
        <f aca="false">U147+SUM(U148:U156)</f>
        <v>125</v>
      </c>
      <c r="V157" s="13" t="n">
        <f aca="false">V147+SUM(V148:V156)</f>
        <v>125</v>
      </c>
      <c r="W157" s="13" t="n">
        <f aca="false">W147+SUM(W148:W156)</f>
        <v>125</v>
      </c>
      <c r="X157" s="13" t="n">
        <f aca="false">X147+SUM(X148:X156)</f>
        <v>125</v>
      </c>
      <c r="Y157" s="13" t="n">
        <f aca="false">Y147+SUM(Y148:Y156)</f>
        <v>125</v>
      </c>
      <c r="Z157" s="13" t="n">
        <f aca="false">SUM(Z148:Z156)</f>
        <v>987.5</v>
      </c>
    </row>
    <row r="158" customFormat="false" ht="15" hidden="false" customHeight="false" outlineLevel="0" collapsed="false">
      <c r="B158" s="8" t="s">
        <v>203</v>
      </c>
      <c r="C158" s="8" t="s">
        <v>204</v>
      </c>
      <c r="D158" s="13" t="n">
        <f aca="false">D147+SUM(D148:D157)</f>
        <v>175</v>
      </c>
      <c r="E158" s="35" t="n">
        <f aca="false">E147+SUM(E148:E157)</f>
        <v>153.75</v>
      </c>
      <c r="F158" s="13" t="n">
        <f aca="false">F147+SUM(F148:F157)</f>
        <v>126.25</v>
      </c>
      <c r="G158" s="13" t="n">
        <f aca="false">G147+SUM(G148:G157)</f>
        <v>126.25</v>
      </c>
      <c r="H158" s="13" t="n">
        <f aca="false">H147+SUM(H148:H157)</f>
        <v>125</v>
      </c>
      <c r="I158" s="13" t="n">
        <f aca="false">I147+SUM(I148:I157)</f>
        <v>125</v>
      </c>
      <c r="J158" s="13" t="n">
        <f aca="false">J147+SUM(J148:J157)</f>
        <v>125</v>
      </c>
      <c r="K158" s="13" t="n">
        <f aca="false">K147+SUM(K148:K157)</f>
        <v>125</v>
      </c>
      <c r="L158" s="13" t="n">
        <f aca="false">L147+SUM(L148:L157)</f>
        <v>125</v>
      </c>
      <c r="M158" s="13" t="n">
        <f aca="false">SUM(M148:M157)</f>
        <v>971.25</v>
      </c>
      <c r="O158" s="2" t="s">
        <v>205</v>
      </c>
      <c r="Q158" s="37" t="n">
        <f aca="false">Q157/Q146</f>
        <v>1.4</v>
      </c>
      <c r="R158" s="36" t="n">
        <f aca="false">R157/R146</f>
        <v>1.2</v>
      </c>
      <c r="S158" s="37" t="n">
        <f aca="false">S157/S146</f>
        <v>1</v>
      </c>
      <c r="T158" s="37" t="n">
        <f aca="false">T157/T146</f>
        <v>1</v>
      </c>
      <c r="U158" s="37" t="n">
        <f aca="false">U157/U146</f>
        <v>1</v>
      </c>
      <c r="V158" s="37" t="n">
        <f aca="false">V157/V146</f>
        <v>1</v>
      </c>
      <c r="W158" s="37" t="n">
        <f aca="false">W157/W146</f>
        <v>1</v>
      </c>
      <c r="X158" s="37" t="n">
        <f aca="false">X157/X146</f>
        <v>1</v>
      </c>
      <c r="Y158" s="37" t="n">
        <f aca="false">Y157/Y146</f>
        <v>1</v>
      </c>
    </row>
    <row r="159" customFormat="false" ht="15" hidden="false" customHeight="false" outlineLevel="0" collapsed="false">
      <c r="B159" s="2" t="s">
        <v>205</v>
      </c>
      <c r="D159" s="37" t="n">
        <f aca="false">D158/D146</f>
        <v>1.4</v>
      </c>
      <c r="E159" s="36" t="n">
        <f aca="false">E158/E146</f>
        <v>1.23</v>
      </c>
      <c r="F159" s="37" t="n">
        <f aca="false">F158/F146</f>
        <v>1.01</v>
      </c>
      <c r="G159" s="37" t="n">
        <f aca="false">G158/G146</f>
        <v>1.01</v>
      </c>
      <c r="H159" s="37" t="n">
        <f aca="false">H158/H146</f>
        <v>1</v>
      </c>
      <c r="I159" s="37" t="n">
        <f aca="false">I158/I146</f>
        <v>1</v>
      </c>
      <c r="J159" s="37" t="n">
        <f aca="false">J158/J146</f>
        <v>1</v>
      </c>
      <c r="K159" s="37" t="n">
        <f aca="false">K158/K146</f>
        <v>1</v>
      </c>
      <c r="L159" s="37" t="n">
        <f aca="false">L158/L146</f>
        <v>1</v>
      </c>
      <c r="O159" s="2" t="s">
        <v>206</v>
      </c>
      <c r="Q159" s="39" t="n">
        <f aca="false">Q157-Assumptions!$C$5</f>
        <v>75</v>
      </c>
      <c r="R159" s="38" t="n">
        <f aca="false">R157-Q157</f>
        <v>-25</v>
      </c>
      <c r="S159" s="39" t="n">
        <f aca="false">S157-R157</f>
        <v>-25</v>
      </c>
      <c r="T159" s="39" t="n">
        <f aca="false">T157-S157</f>
        <v>0</v>
      </c>
      <c r="U159" s="39" t="n">
        <f aca="false">U157-T157</f>
        <v>0</v>
      </c>
      <c r="V159" s="39" t="n">
        <f aca="false">V157-U157</f>
        <v>0</v>
      </c>
      <c r="W159" s="39" t="n">
        <f aca="false">W157-V157</f>
        <v>0</v>
      </c>
      <c r="X159" s="39" t="n">
        <f aca="false">X157-W157</f>
        <v>0</v>
      </c>
      <c r="Y159" s="39" t="n">
        <f aca="false">Y157-X157</f>
        <v>0</v>
      </c>
    </row>
    <row r="160" customFormat="false" ht="15" hidden="false" customHeight="false" outlineLevel="0" collapsed="false">
      <c r="B160" s="2" t="s">
        <v>206</v>
      </c>
      <c r="D160" s="39" t="n">
        <f aca="false">D158-Assumptions!$C$5</f>
        <v>75</v>
      </c>
      <c r="E160" s="38" t="n">
        <f aca="false">E158-D158</f>
        <v>-21.25</v>
      </c>
      <c r="F160" s="39" t="n">
        <f aca="false">F158-E158</f>
        <v>-27.5</v>
      </c>
      <c r="G160" s="39" t="n">
        <f aca="false">G158-F158</f>
        <v>0</v>
      </c>
      <c r="H160" s="39" t="n">
        <f aca="false">H158-G158</f>
        <v>-1.25</v>
      </c>
      <c r="I160" s="39" t="n">
        <f aca="false">I158-H158</f>
        <v>0</v>
      </c>
      <c r="J160" s="39" t="n">
        <f aca="false">J158-I158</f>
        <v>0</v>
      </c>
      <c r="K160" s="39" t="n">
        <f aca="false">K158-J158</f>
        <v>0</v>
      </c>
      <c r="L160" s="39" t="n">
        <f aca="false">L158-K158</f>
        <v>0</v>
      </c>
      <c r="R160" s="34"/>
    </row>
    <row r="161" customFormat="false" ht="15" hidden="false" customHeight="false" outlineLevel="0" collapsed="false">
      <c r="E161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2" min="3" style="0" width="8"/>
    <col collapsed="false" customWidth="true" hidden="false" outlineLevel="0" max="13" min="13" style="0" width="8.5"/>
    <col collapsed="false" customWidth="true" hidden="false" outlineLevel="0" max="14" min="14" style="0" width="2"/>
    <col collapsed="false" customWidth="true" hidden="false" outlineLevel="0" max="15" min="15" style="0" width="34"/>
    <col collapsed="false" customWidth="true" hidden="false" outlineLevel="0" max="25" min="16" style="0" width="8"/>
    <col collapsed="false" customWidth="true" hidden="false" outlineLevel="0" max="26" min="26" style="0" width="8.5"/>
  </cols>
  <sheetData>
    <row r="2" customFormat="false" ht="17.35" hidden="false" customHeight="false" outlineLevel="0" collapsed="false">
      <c r="B2" s="1" t="s">
        <v>241</v>
      </c>
    </row>
    <row r="3" customFormat="false" ht="15" hidden="false" customHeight="false" outlineLevel="0" collapsed="false">
      <c r="B3" s="2" t="s">
        <v>178</v>
      </c>
    </row>
    <row r="5" customFormat="false" ht="15" hidden="false" customHeight="false" outlineLevel="0" collapsed="false">
      <c r="B5" s="3" t="s">
        <v>179</v>
      </c>
    </row>
    <row r="6" customFormat="false" ht="15" hidden="false" customHeight="false" outlineLevel="0" collapsed="false">
      <c r="B6" s="5" t="s">
        <v>180</v>
      </c>
      <c r="C6" s="7" t="s">
        <v>181</v>
      </c>
      <c r="D6" s="7" t="s">
        <v>91</v>
      </c>
      <c r="E6" s="7" t="s">
        <v>92</v>
      </c>
      <c r="F6" s="7" t="s">
        <v>93</v>
      </c>
      <c r="G6" s="7" t="s">
        <v>94</v>
      </c>
      <c r="H6" s="7" t="s">
        <v>95</v>
      </c>
      <c r="I6" s="7" t="s">
        <v>96</v>
      </c>
      <c r="J6" s="7" t="s">
        <v>97</v>
      </c>
      <c r="K6" s="7" t="s">
        <v>98</v>
      </c>
      <c r="L6" s="7" t="s">
        <v>99</v>
      </c>
      <c r="M6" s="7" t="s">
        <v>100</v>
      </c>
      <c r="O6" s="25" t="s">
        <v>182</v>
      </c>
      <c r="P6" s="26" t="s">
        <v>181</v>
      </c>
      <c r="Q6" s="26" t="s">
        <v>91</v>
      </c>
      <c r="R6" s="26" t="s">
        <v>92</v>
      </c>
      <c r="S6" s="26" t="s">
        <v>93</v>
      </c>
      <c r="T6" s="26" t="s">
        <v>94</v>
      </c>
      <c r="U6" s="26" t="s">
        <v>95</v>
      </c>
      <c r="V6" s="26" t="s">
        <v>96</v>
      </c>
      <c r="W6" s="26" t="s">
        <v>97</v>
      </c>
      <c r="X6" s="26" t="s">
        <v>98</v>
      </c>
      <c r="Y6" s="26" t="s">
        <v>99</v>
      </c>
      <c r="Z6" s="26" t="s">
        <v>100</v>
      </c>
    </row>
    <row r="7" customFormat="false" ht="15" hidden="false" customHeight="false" outlineLevel="0" collapsed="false">
      <c r="B7" s="2" t="s">
        <v>183</v>
      </c>
      <c r="D7" s="27" t="n">
        <f aca="false">Assumptions!$C$5*Assumptions!$C$6</f>
        <v>125</v>
      </c>
      <c r="E7" s="28" t="n">
        <f aca="false">Assumptions!$C$5*Assumptions!$C$6</f>
        <v>125</v>
      </c>
      <c r="F7" s="40" t="n">
        <f aca="false">Assumptions!$C$5*Assumptions!$C$8</f>
        <v>200</v>
      </c>
      <c r="G7" s="28" t="n">
        <f aca="false">Assumptions!$C$5*Assumptions!$C$6</f>
        <v>125</v>
      </c>
      <c r="H7" s="28" t="n">
        <f aca="false">Assumptions!$C$5*Assumptions!$C$6</f>
        <v>125</v>
      </c>
      <c r="I7" s="28" t="n">
        <f aca="false">Assumptions!$C$5*Assumptions!$C$6</f>
        <v>125</v>
      </c>
      <c r="J7" s="28" t="n">
        <f aca="false">Assumptions!$C$5*Assumptions!$C$6</f>
        <v>125</v>
      </c>
      <c r="K7" s="28" t="n">
        <f aca="false">Assumptions!$C$5*Assumptions!$C$6</f>
        <v>125</v>
      </c>
      <c r="L7" s="28" t="n">
        <f aca="false">Assumptions!$C$5*Assumptions!$C$6</f>
        <v>125</v>
      </c>
      <c r="O7" s="2" t="s">
        <v>183</v>
      </c>
      <c r="Q7" s="27" t="n">
        <f aca="false">Assumptions!$C$5*Assumptions!$C$6</f>
        <v>125</v>
      </c>
      <c r="R7" s="28" t="n">
        <f aca="false">Assumptions!$C$5*Assumptions!$C$6</f>
        <v>125</v>
      </c>
      <c r="S7" s="40" t="n">
        <f aca="false">Assumptions!$C$10</f>
        <v>230</v>
      </c>
      <c r="T7" s="28" t="n">
        <f aca="false">Assumptions!$C$5*Assumptions!$C$6</f>
        <v>125</v>
      </c>
      <c r="U7" s="28" t="n">
        <f aca="false">Assumptions!$C$5*Assumptions!$C$6</f>
        <v>125</v>
      </c>
      <c r="V7" s="28" t="n">
        <f aca="false">Assumptions!$C$5*Assumptions!$C$6</f>
        <v>125</v>
      </c>
      <c r="W7" s="28" t="n">
        <f aca="false">Assumptions!$C$5*Assumptions!$C$6</f>
        <v>125</v>
      </c>
      <c r="X7" s="28" t="n">
        <f aca="false">Assumptions!$C$5*Assumptions!$C$6</f>
        <v>125</v>
      </c>
      <c r="Y7" s="28" t="n">
        <f aca="false">Assumptions!$C$5*Assumptions!$C$6</f>
        <v>125</v>
      </c>
    </row>
    <row r="8" customFormat="false" ht="15" hidden="false" customHeight="false" outlineLevel="0" collapsed="false">
      <c r="B8" s="4" t="s">
        <v>184</v>
      </c>
      <c r="D8" s="29" t="n">
        <v>0</v>
      </c>
      <c r="E8" s="30" t="n">
        <v>0</v>
      </c>
      <c r="F8" s="41" t="n">
        <v>0</v>
      </c>
      <c r="G8" s="30" t="n">
        <v>0</v>
      </c>
      <c r="H8" s="30" t="n">
        <v>0</v>
      </c>
      <c r="I8" s="30" t="n">
        <v>0</v>
      </c>
      <c r="J8" s="30" t="n">
        <v>0</v>
      </c>
      <c r="K8" s="30" t="n">
        <v>0</v>
      </c>
      <c r="L8" s="30" t="n">
        <v>0</v>
      </c>
      <c r="O8" s="4" t="s">
        <v>184</v>
      </c>
      <c r="Q8" s="29" t="n">
        <v>0</v>
      </c>
      <c r="R8" s="30" t="n">
        <v>0</v>
      </c>
      <c r="S8" s="41" t="n">
        <v>0</v>
      </c>
      <c r="T8" s="30" t="n">
        <v>0</v>
      </c>
      <c r="U8" s="30" t="n">
        <v>0</v>
      </c>
      <c r="V8" s="30" t="n">
        <v>0</v>
      </c>
      <c r="W8" s="30" t="n">
        <v>0</v>
      </c>
      <c r="X8" s="30" t="n">
        <v>0</v>
      </c>
      <c r="Y8" s="30" t="n">
        <v>0</v>
      </c>
    </row>
    <row r="9" customFormat="false" ht="15" hidden="false" customHeight="false" outlineLevel="0" collapsed="false">
      <c r="B9" s="4" t="s">
        <v>185</v>
      </c>
      <c r="C9" s="31" t="n">
        <f aca="false">Assumptions!$C$5</f>
        <v>100</v>
      </c>
      <c r="D9" s="32" t="n">
        <f aca="false">$C9*Assumptions!$C$17</f>
        <v>100</v>
      </c>
      <c r="E9" s="33" t="n">
        <f aca="false">$C9*Assumptions!$D$17</f>
        <v>15</v>
      </c>
      <c r="F9" s="42" t="n">
        <f aca="false">$C9*Assumptions!$E$17</f>
        <v>5</v>
      </c>
      <c r="G9" s="33" t="n">
        <f aca="false">$C9*Assumptions!$F$17</f>
        <v>5</v>
      </c>
      <c r="M9" s="33" t="n">
        <f aca="false">$C9*Assumptions!$G$17</f>
        <v>125</v>
      </c>
      <c r="O9" s="4" t="s">
        <v>186</v>
      </c>
      <c r="P9" s="31" t="n">
        <f aca="false">Assumptions!$C$5*Assumptions!$C$9</f>
        <v>115</v>
      </c>
      <c r="Q9" s="32" t="n">
        <f aca="false">$P9*Assumptions!$C$19</f>
        <v>115</v>
      </c>
      <c r="R9" s="33" t="n">
        <f aca="false">$P9*Assumptions!$D$19</f>
        <v>57.5</v>
      </c>
      <c r="S9" s="42" t="n">
        <f aca="false">$P9*Assumptions!$E$19</f>
        <v>0</v>
      </c>
      <c r="T9" s="33" t="n">
        <f aca="false">$P9*Assumptions!$F$19</f>
        <v>0</v>
      </c>
      <c r="Z9" s="33" t="n">
        <f aca="false">$P9*Assumptions!$G$19</f>
        <v>172.5</v>
      </c>
    </row>
    <row r="10" customFormat="false" ht="15" hidden="false" customHeight="false" outlineLevel="0" collapsed="false">
      <c r="B10" s="4" t="s">
        <v>187</v>
      </c>
      <c r="C10" s="31" t="n">
        <f aca="false">Assumptions!$C$5</f>
        <v>100</v>
      </c>
      <c r="D10" s="34"/>
      <c r="E10" s="33" t="n">
        <f aca="false">$C10*Assumptions!$C$17</f>
        <v>100</v>
      </c>
      <c r="F10" s="42" t="n">
        <f aca="false">$C10*Assumptions!$D$17</f>
        <v>15</v>
      </c>
      <c r="G10" s="33" t="n">
        <f aca="false">$C10*Assumptions!$E$17</f>
        <v>5</v>
      </c>
      <c r="H10" s="33" t="n">
        <f aca="false">$C10*Assumptions!$F$17</f>
        <v>5</v>
      </c>
      <c r="M10" s="33" t="n">
        <f aca="false">$C10*Assumptions!$G$17</f>
        <v>125</v>
      </c>
      <c r="O10" s="4" t="s">
        <v>188</v>
      </c>
      <c r="P10" s="31" t="n">
        <f aca="false">Assumptions!$C$11*Assumptions!$C$5*Assumptions!$C$9</f>
        <v>57.5</v>
      </c>
      <c r="Q10" s="34"/>
      <c r="R10" s="33" t="n">
        <f aca="false">$P10*Assumptions!$C$18</f>
        <v>57.5</v>
      </c>
      <c r="S10" s="42" t="n">
        <f aca="false">$P10*Assumptions!$D$18</f>
        <v>57.5</v>
      </c>
      <c r="T10" s="33" t="n">
        <f aca="false">$P10*Assumptions!$E$18</f>
        <v>0</v>
      </c>
      <c r="U10" s="33" t="n">
        <f aca="false">$P10*Assumptions!$F$18</f>
        <v>0</v>
      </c>
      <c r="Z10" s="33" t="n">
        <f aca="false">$P10*Assumptions!$G$18</f>
        <v>115</v>
      </c>
    </row>
    <row r="11" customFormat="false" ht="15" hidden="false" customHeight="false" outlineLevel="0" collapsed="false">
      <c r="B11" s="4" t="s">
        <v>242</v>
      </c>
      <c r="C11" s="31" t="n">
        <f aca="false">MAX(0,F7-(F8))</f>
        <v>200</v>
      </c>
      <c r="D11" s="34"/>
      <c r="F11" s="42" t="n">
        <f aca="false">$C11*Assumptions!$C$17</f>
        <v>200</v>
      </c>
      <c r="G11" s="33" t="n">
        <f aca="false">$C11*Assumptions!$D$17</f>
        <v>30</v>
      </c>
      <c r="H11" s="33" t="n">
        <f aca="false">$C11*Assumptions!$E$17</f>
        <v>10</v>
      </c>
      <c r="I11" s="33" t="n">
        <f aca="false">$C11*Assumptions!$F$17</f>
        <v>10</v>
      </c>
      <c r="M11" s="33" t="n">
        <f aca="false">$C11*Assumptions!$G$17</f>
        <v>250</v>
      </c>
      <c r="O11" s="4" t="s">
        <v>243</v>
      </c>
      <c r="P11" s="31" t="n">
        <f aca="false">MAX(0,S7-(S8+SUM(S9:S10)))</f>
        <v>172.5</v>
      </c>
      <c r="Q11" s="34"/>
      <c r="S11" s="42" t="n">
        <f aca="false">$P11*Assumptions!$C$21</f>
        <v>172.5</v>
      </c>
      <c r="T11" s="33" t="n">
        <f aca="false">$P11*Assumptions!$D$21</f>
        <v>0</v>
      </c>
      <c r="U11" s="33" t="n">
        <f aca="false">$P11*Assumptions!$E$21</f>
        <v>0</v>
      </c>
      <c r="V11" s="33" t="n">
        <f aca="false">$P11*Assumptions!$F$21</f>
        <v>0</v>
      </c>
      <c r="Z11" s="33" t="n">
        <f aca="false">$P11*Assumptions!$G$21</f>
        <v>172.5</v>
      </c>
    </row>
    <row r="12" customFormat="false" ht="15" hidden="false" customHeight="false" outlineLevel="0" collapsed="false">
      <c r="B12" s="4" t="s">
        <v>244</v>
      </c>
      <c r="C12" s="31" t="n">
        <f aca="false">Assumptions!$C$5*Assumptions!$C$8</f>
        <v>200</v>
      </c>
      <c r="D12" s="34"/>
      <c r="F12" s="43"/>
      <c r="G12" s="33" t="n">
        <f aca="false">$C12*Assumptions!$C$17</f>
        <v>200</v>
      </c>
      <c r="H12" s="33" t="n">
        <f aca="false">$C12*Assumptions!$D$17</f>
        <v>30</v>
      </c>
      <c r="I12" s="33" t="n">
        <f aca="false">$C12*Assumptions!$E$17</f>
        <v>10</v>
      </c>
      <c r="J12" s="33" t="n">
        <f aca="false">$C12*Assumptions!$F$17</f>
        <v>10</v>
      </c>
      <c r="M12" s="33" t="n">
        <f aca="false">$C12*Assumptions!$G$17</f>
        <v>250</v>
      </c>
      <c r="O12" s="4" t="s">
        <v>245</v>
      </c>
      <c r="P12" s="31" t="n">
        <f aca="false">Assumptions!$C$10</f>
        <v>230</v>
      </c>
      <c r="Q12" s="34"/>
      <c r="S12" s="43"/>
      <c r="T12" s="33" t="n">
        <f aca="false">$P12*Assumptions!$C$19</f>
        <v>230</v>
      </c>
      <c r="U12" s="33" t="n">
        <f aca="false">$P12*Assumptions!$D$19</f>
        <v>115</v>
      </c>
      <c r="V12" s="33" t="n">
        <f aca="false">$P12*Assumptions!$E$19</f>
        <v>0</v>
      </c>
      <c r="W12" s="33" t="n">
        <f aca="false">$P12*Assumptions!$F$19</f>
        <v>0</v>
      </c>
      <c r="Z12" s="33" t="n">
        <f aca="false">$P12*Assumptions!$G$19</f>
        <v>345</v>
      </c>
    </row>
    <row r="13" customFormat="false" ht="15" hidden="false" customHeight="false" outlineLevel="0" collapsed="false">
      <c r="B13" s="4" t="s">
        <v>246</v>
      </c>
      <c r="C13" s="31" t="n">
        <f aca="false">Assumptions!$C$5*Assumptions!$C$8</f>
        <v>200</v>
      </c>
      <c r="D13" s="34"/>
      <c r="F13" s="43"/>
      <c r="H13" s="33" t="n">
        <f aca="false">$C13*Assumptions!$C$17</f>
        <v>200</v>
      </c>
      <c r="I13" s="33" t="n">
        <f aca="false">$C13*Assumptions!$D$17</f>
        <v>30</v>
      </c>
      <c r="J13" s="33" t="n">
        <f aca="false">$C13*Assumptions!$E$17</f>
        <v>10</v>
      </c>
      <c r="K13" s="33" t="n">
        <f aca="false">$C13*Assumptions!$F$17</f>
        <v>10</v>
      </c>
      <c r="M13" s="33" t="n">
        <f aca="false">$C13*Assumptions!$G$17</f>
        <v>250</v>
      </c>
      <c r="O13" s="4" t="s">
        <v>247</v>
      </c>
      <c r="P13" s="31" t="n">
        <f aca="false">Assumptions!$C$11*Assumptions!$C$10</f>
        <v>115</v>
      </c>
      <c r="Q13" s="34"/>
      <c r="S13" s="43"/>
      <c r="U13" s="33" t="n">
        <f aca="false">$P13*Assumptions!$C$18</f>
        <v>115</v>
      </c>
      <c r="V13" s="33" t="n">
        <f aca="false">$P13*Assumptions!$D$18</f>
        <v>115</v>
      </c>
      <c r="W13" s="33" t="n">
        <f aca="false">$P13*Assumptions!$E$18</f>
        <v>0</v>
      </c>
      <c r="X13" s="33" t="n">
        <f aca="false">$P13*Assumptions!$F$18</f>
        <v>0</v>
      </c>
      <c r="Z13" s="33" t="n">
        <f aca="false">$P13*Assumptions!$G$18</f>
        <v>230</v>
      </c>
    </row>
    <row r="14" customFormat="false" ht="15" hidden="false" customHeight="false" outlineLevel="0" collapsed="false">
      <c r="B14" s="4" t="s">
        <v>248</v>
      </c>
      <c r="C14" s="31" t="n">
        <f aca="false">Assumptions!$C$5*Assumptions!$C$8</f>
        <v>200</v>
      </c>
      <c r="D14" s="34"/>
      <c r="F14" s="43"/>
      <c r="I14" s="33" t="n">
        <f aca="false">$C14*Assumptions!$C$17</f>
        <v>200</v>
      </c>
      <c r="J14" s="33" t="n">
        <f aca="false">$C14*Assumptions!$D$17</f>
        <v>30</v>
      </c>
      <c r="K14" s="33" t="n">
        <f aca="false">$C14*Assumptions!$E$17</f>
        <v>10</v>
      </c>
      <c r="L14" s="33" t="n">
        <f aca="false">$C14*Assumptions!$F$17</f>
        <v>10</v>
      </c>
      <c r="M14" s="33" t="n">
        <f aca="false">$C14*Assumptions!$G$17</f>
        <v>250</v>
      </c>
      <c r="O14" s="4" t="s">
        <v>249</v>
      </c>
      <c r="P14" s="31" t="n">
        <f aca="false">Assumptions!$C$11*Assumptions!$C$10</f>
        <v>115</v>
      </c>
      <c r="Q14" s="34"/>
      <c r="S14" s="43"/>
      <c r="V14" s="33" t="n">
        <f aca="false">$P14*Assumptions!$C$18</f>
        <v>115</v>
      </c>
      <c r="W14" s="33" t="n">
        <f aca="false">$P14*Assumptions!$D$18</f>
        <v>115</v>
      </c>
      <c r="X14" s="33" t="n">
        <f aca="false">$P14*Assumptions!$E$18</f>
        <v>0</v>
      </c>
      <c r="Y14" s="33" t="n">
        <f aca="false">$P14*Assumptions!$F$18</f>
        <v>0</v>
      </c>
      <c r="Z14" s="33" t="n">
        <f aca="false">$P14*Assumptions!$G$18</f>
        <v>230</v>
      </c>
    </row>
    <row r="15" customFormat="false" ht="15" hidden="false" customHeight="false" outlineLevel="0" collapsed="false">
      <c r="B15" s="4" t="s">
        <v>250</v>
      </c>
      <c r="C15" s="31" t="n">
        <f aca="false">Assumptions!$C$5*Assumptions!$C$8</f>
        <v>200</v>
      </c>
      <c r="D15" s="34"/>
      <c r="F15" s="43"/>
      <c r="J15" s="33" t="n">
        <f aca="false">$C15*Assumptions!$C$17</f>
        <v>200</v>
      </c>
      <c r="K15" s="33" t="n">
        <f aca="false">$C15*Assumptions!$D$17</f>
        <v>30</v>
      </c>
      <c r="L15" s="33" t="n">
        <f aca="false">$C15*Assumptions!$E$17</f>
        <v>10</v>
      </c>
      <c r="M15" s="33" t="n">
        <f aca="false">$C15*Assumptions!$G$17</f>
        <v>250</v>
      </c>
      <c r="O15" s="4" t="s">
        <v>251</v>
      </c>
      <c r="P15" s="31" t="n">
        <f aca="false">Assumptions!$C$11*Assumptions!$C$10</f>
        <v>115</v>
      </c>
      <c r="Q15" s="34"/>
      <c r="S15" s="43"/>
      <c r="W15" s="33" t="n">
        <f aca="false">$P15*Assumptions!$C$18</f>
        <v>115</v>
      </c>
      <c r="X15" s="33" t="n">
        <f aca="false">$P15*Assumptions!$D$18</f>
        <v>115</v>
      </c>
      <c r="Y15" s="33" t="n">
        <f aca="false">$P15*Assumptions!$E$18</f>
        <v>0</v>
      </c>
      <c r="Z15" s="33" t="n">
        <f aca="false">$P15*Assumptions!$G$18</f>
        <v>230</v>
      </c>
    </row>
    <row r="16" customFormat="false" ht="15" hidden="false" customHeight="false" outlineLevel="0" collapsed="false">
      <c r="B16" s="4" t="s">
        <v>252</v>
      </c>
      <c r="C16" s="31" t="n">
        <f aca="false">Assumptions!$C$5*Assumptions!$C$8</f>
        <v>200</v>
      </c>
      <c r="D16" s="34"/>
      <c r="F16" s="43"/>
      <c r="K16" s="33" t="n">
        <f aca="false">$C16*Assumptions!$C$17</f>
        <v>200</v>
      </c>
      <c r="L16" s="33" t="n">
        <f aca="false">$C16*Assumptions!$D$17</f>
        <v>30</v>
      </c>
      <c r="M16" s="33" t="n">
        <f aca="false">$C16*Assumptions!$G$17</f>
        <v>250</v>
      </c>
      <c r="O16" s="4" t="s">
        <v>253</v>
      </c>
      <c r="P16" s="31" t="n">
        <f aca="false">Assumptions!$C$11*Assumptions!$C$10</f>
        <v>115</v>
      </c>
      <c r="Q16" s="34"/>
      <c r="S16" s="43"/>
      <c r="X16" s="33" t="n">
        <f aca="false">$P16*Assumptions!$C$18</f>
        <v>115</v>
      </c>
      <c r="Y16" s="33" t="n">
        <f aca="false">$P16*Assumptions!$D$18</f>
        <v>115</v>
      </c>
      <c r="Z16" s="33" t="n">
        <f aca="false">$P16*Assumptions!$G$18</f>
        <v>230</v>
      </c>
    </row>
    <row r="17" customFormat="false" ht="15" hidden="false" customHeight="false" outlineLevel="0" collapsed="false">
      <c r="B17" s="4" t="s">
        <v>254</v>
      </c>
      <c r="C17" s="31" t="n">
        <f aca="false">Assumptions!$C$5*Assumptions!$C$8</f>
        <v>200</v>
      </c>
      <c r="D17" s="34"/>
      <c r="F17" s="43"/>
      <c r="L17" s="33" t="n">
        <f aca="false">$C17*Assumptions!$C$17</f>
        <v>200</v>
      </c>
      <c r="M17" s="33" t="n">
        <f aca="false">$C17*Assumptions!$G$17</f>
        <v>250</v>
      </c>
      <c r="O17" s="4" t="s">
        <v>255</v>
      </c>
      <c r="P17" s="31" t="n">
        <f aca="false">Assumptions!$C$11*Assumptions!$C$10</f>
        <v>115</v>
      </c>
      <c r="Q17" s="34"/>
      <c r="S17" s="43"/>
      <c r="Y17" s="33" t="n">
        <f aca="false">$P17*Assumptions!$C$18</f>
        <v>115</v>
      </c>
      <c r="Z17" s="33" t="n">
        <f aca="false">$P17*Assumptions!$G$18</f>
        <v>230</v>
      </c>
    </row>
    <row r="18" customFormat="false" ht="15" hidden="false" customHeight="false" outlineLevel="0" collapsed="false">
      <c r="B18" s="8" t="s">
        <v>203</v>
      </c>
      <c r="C18" s="8" t="s">
        <v>204</v>
      </c>
      <c r="D18" s="35" t="n">
        <f aca="false">D8+SUM(D9:D17)</f>
        <v>100</v>
      </c>
      <c r="E18" s="13" t="n">
        <f aca="false">E8+SUM(E9:E17)</f>
        <v>115</v>
      </c>
      <c r="F18" s="44" t="n">
        <f aca="false">F8+SUM(F9:F17)</f>
        <v>220</v>
      </c>
      <c r="G18" s="13" t="n">
        <f aca="false">G8+SUM(G9:G17)</f>
        <v>240</v>
      </c>
      <c r="H18" s="13" t="n">
        <f aca="false">H8+SUM(H9:H17)</f>
        <v>245</v>
      </c>
      <c r="I18" s="13" t="n">
        <f aca="false">I8+SUM(I9:I17)</f>
        <v>250</v>
      </c>
      <c r="J18" s="13" t="n">
        <f aca="false">J8+SUM(J9:J17)</f>
        <v>250</v>
      </c>
      <c r="K18" s="13" t="n">
        <f aca="false">K8+SUM(K9:K17)</f>
        <v>250</v>
      </c>
      <c r="L18" s="13" t="n">
        <f aca="false">L8+SUM(L9:L17)</f>
        <v>250</v>
      </c>
      <c r="M18" s="13" t="n">
        <f aca="false">SUM(M9:M17)</f>
        <v>2000</v>
      </c>
      <c r="O18" s="8" t="s">
        <v>203</v>
      </c>
      <c r="P18" s="8" t="s">
        <v>204</v>
      </c>
      <c r="Q18" s="35" t="n">
        <f aca="false">Q8+SUM(Q9:Q17)</f>
        <v>115</v>
      </c>
      <c r="R18" s="13" t="n">
        <f aca="false">R8+SUM(R9:R17)</f>
        <v>115</v>
      </c>
      <c r="S18" s="44" t="n">
        <f aca="false">S8+SUM(S9:S17)</f>
        <v>230</v>
      </c>
      <c r="T18" s="13" t="n">
        <f aca="false">T8+SUM(T9:T17)</f>
        <v>230</v>
      </c>
      <c r="U18" s="13" t="n">
        <f aca="false">U8+SUM(U9:U17)</f>
        <v>230</v>
      </c>
      <c r="V18" s="13" t="n">
        <f aca="false">V8+SUM(V9:V17)</f>
        <v>230</v>
      </c>
      <c r="W18" s="13" t="n">
        <f aca="false">W8+SUM(W9:W17)</f>
        <v>230</v>
      </c>
      <c r="X18" s="13" t="n">
        <f aca="false">X8+SUM(X9:X17)</f>
        <v>230</v>
      </c>
      <c r="Y18" s="13" t="n">
        <f aca="false">Y8+SUM(Y9:Y17)</f>
        <v>230</v>
      </c>
      <c r="Z18" s="13" t="n">
        <f aca="false">SUM(Z9:Z17)</f>
        <v>1955</v>
      </c>
    </row>
    <row r="19" customFormat="false" ht="15" hidden="false" customHeight="false" outlineLevel="0" collapsed="false">
      <c r="B19" s="2" t="s">
        <v>205</v>
      </c>
      <c r="D19" s="36" t="n">
        <f aca="false">D18/D7</f>
        <v>0.8</v>
      </c>
      <c r="E19" s="37" t="n">
        <f aca="false">E18/E7</f>
        <v>0.92</v>
      </c>
      <c r="F19" s="45" t="n">
        <f aca="false">F18/F7</f>
        <v>1.1</v>
      </c>
      <c r="G19" s="37" t="n">
        <f aca="false">G18/G7</f>
        <v>1.92</v>
      </c>
      <c r="H19" s="37" t="n">
        <f aca="false">H18/H7</f>
        <v>1.96</v>
      </c>
      <c r="I19" s="37" t="n">
        <f aca="false">I18/I7</f>
        <v>2</v>
      </c>
      <c r="J19" s="37" t="n">
        <f aca="false">J18/J7</f>
        <v>2</v>
      </c>
      <c r="K19" s="37" t="n">
        <f aca="false">K18/K7</f>
        <v>2</v>
      </c>
      <c r="L19" s="37" t="n">
        <f aca="false">L18/L7</f>
        <v>2</v>
      </c>
      <c r="O19" s="2" t="s">
        <v>205</v>
      </c>
      <c r="Q19" s="36" t="n">
        <f aca="false">Q18/Q7</f>
        <v>0.92</v>
      </c>
      <c r="R19" s="37" t="n">
        <f aca="false">R18/R7</f>
        <v>0.92</v>
      </c>
      <c r="S19" s="45" t="n">
        <f aca="false">S18/S7</f>
        <v>1</v>
      </c>
      <c r="T19" s="37" t="n">
        <f aca="false">T18/T7</f>
        <v>1.84</v>
      </c>
      <c r="U19" s="37" t="n">
        <f aca="false">U18/U7</f>
        <v>1.84</v>
      </c>
      <c r="V19" s="37" t="n">
        <f aca="false">V18/V7</f>
        <v>1.84</v>
      </c>
      <c r="W19" s="37" t="n">
        <f aca="false">W18/W7</f>
        <v>1.84</v>
      </c>
      <c r="X19" s="37" t="n">
        <f aca="false">X18/X7</f>
        <v>1.84</v>
      </c>
      <c r="Y19" s="37" t="n">
        <f aca="false">Y18/Y7</f>
        <v>1.84</v>
      </c>
    </row>
    <row r="20" customFormat="false" ht="15" hidden="false" customHeight="false" outlineLevel="0" collapsed="false">
      <c r="B20" s="2" t="s">
        <v>206</v>
      </c>
      <c r="D20" s="38" t="n">
        <f aca="false">D18-Assumptions!$C$5</f>
        <v>0</v>
      </c>
      <c r="E20" s="39" t="n">
        <f aca="false">E18-D18</f>
        <v>15</v>
      </c>
      <c r="F20" s="46" t="n">
        <f aca="false">F18-E18</f>
        <v>105</v>
      </c>
      <c r="G20" s="39" t="n">
        <f aca="false">G18-F18</f>
        <v>20</v>
      </c>
      <c r="H20" s="39" t="n">
        <f aca="false">H18-G18</f>
        <v>5</v>
      </c>
      <c r="I20" s="39" t="n">
        <f aca="false">I18-H18</f>
        <v>5</v>
      </c>
      <c r="J20" s="39" t="n">
        <f aca="false">J18-I18</f>
        <v>0</v>
      </c>
      <c r="K20" s="39" t="n">
        <f aca="false">K18-J18</f>
        <v>0</v>
      </c>
      <c r="L20" s="39" t="n">
        <f aca="false">L18-K18</f>
        <v>0</v>
      </c>
      <c r="O20" s="2" t="s">
        <v>206</v>
      </c>
      <c r="Q20" s="38" t="n">
        <f aca="false">Q18-Assumptions!$C$5</f>
        <v>15</v>
      </c>
      <c r="R20" s="39" t="n">
        <f aca="false">R18-Q18</f>
        <v>0</v>
      </c>
      <c r="S20" s="46" t="n">
        <f aca="false">S18-R18</f>
        <v>115</v>
      </c>
      <c r="T20" s="39" t="n">
        <f aca="false">T18-S18</f>
        <v>0</v>
      </c>
      <c r="U20" s="39" t="n">
        <f aca="false">U18-T18</f>
        <v>0</v>
      </c>
      <c r="V20" s="39" t="n">
        <f aca="false">V18-U18</f>
        <v>0</v>
      </c>
      <c r="W20" s="39" t="n">
        <f aca="false">W18-V18</f>
        <v>0</v>
      </c>
      <c r="X20" s="39" t="n">
        <f aca="false">X18-W18</f>
        <v>0</v>
      </c>
      <c r="Y20" s="39" t="n">
        <f aca="false">Y18-X18</f>
        <v>0</v>
      </c>
    </row>
    <row r="21" customFormat="false" ht="15" hidden="false" customHeight="false" outlineLevel="0" collapsed="false">
      <c r="D21" s="34"/>
      <c r="F21" s="43"/>
      <c r="Q21" s="34"/>
      <c r="S21" s="43"/>
    </row>
    <row r="24" customFormat="false" ht="15" hidden="false" customHeight="false" outlineLevel="0" collapsed="false">
      <c r="B24" s="3" t="s">
        <v>207</v>
      </c>
    </row>
    <row r="25" customFormat="false" ht="15" hidden="false" customHeight="false" outlineLevel="0" collapsed="false">
      <c r="B25" s="5" t="s">
        <v>180</v>
      </c>
      <c r="C25" s="7" t="s">
        <v>181</v>
      </c>
      <c r="D25" s="7" t="s">
        <v>91</v>
      </c>
      <c r="E25" s="7" t="s">
        <v>92</v>
      </c>
      <c r="F25" s="7" t="s">
        <v>93</v>
      </c>
      <c r="G25" s="7" t="s">
        <v>94</v>
      </c>
      <c r="H25" s="7" t="s">
        <v>95</v>
      </c>
      <c r="I25" s="7" t="s">
        <v>96</v>
      </c>
      <c r="J25" s="7" t="s">
        <v>97</v>
      </c>
      <c r="K25" s="7" t="s">
        <v>98</v>
      </c>
      <c r="L25" s="7" t="s">
        <v>99</v>
      </c>
      <c r="M25" s="7" t="s">
        <v>100</v>
      </c>
      <c r="O25" s="25" t="s">
        <v>182</v>
      </c>
      <c r="P25" s="26" t="s">
        <v>181</v>
      </c>
      <c r="Q25" s="26" t="s">
        <v>91</v>
      </c>
      <c r="R25" s="26" t="s">
        <v>92</v>
      </c>
      <c r="S25" s="26" t="s">
        <v>93</v>
      </c>
      <c r="T25" s="26" t="s">
        <v>94</v>
      </c>
      <c r="U25" s="26" t="s">
        <v>95</v>
      </c>
      <c r="V25" s="26" t="s">
        <v>96</v>
      </c>
      <c r="W25" s="26" t="s">
        <v>97</v>
      </c>
      <c r="X25" s="26" t="s">
        <v>98</v>
      </c>
      <c r="Y25" s="26" t="s">
        <v>99</v>
      </c>
      <c r="Z25" s="26" t="s">
        <v>100</v>
      </c>
    </row>
    <row r="26" customFormat="false" ht="15" hidden="false" customHeight="false" outlineLevel="0" collapsed="false">
      <c r="B26" s="2" t="s">
        <v>183</v>
      </c>
      <c r="D26" s="28" t="n">
        <f aca="false">Assumptions!$C$5*Assumptions!$C$6</f>
        <v>125</v>
      </c>
      <c r="E26" s="28" t="n">
        <f aca="false">Assumptions!$C$5*Assumptions!$C$6</f>
        <v>125</v>
      </c>
      <c r="F26" s="28" t="n">
        <f aca="false">Assumptions!$C$5*Assumptions!$C$6</f>
        <v>125</v>
      </c>
      <c r="G26" s="47" t="n">
        <f aca="false">Assumptions!$C$5*Assumptions!$C$8</f>
        <v>200</v>
      </c>
      <c r="H26" s="28" t="n">
        <f aca="false">Assumptions!$C$5*Assumptions!$C$6</f>
        <v>125</v>
      </c>
      <c r="I26" s="28" t="n">
        <f aca="false">Assumptions!$C$5*Assumptions!$C$6</f>
        <v>125</v>
      </c>
      <c r="J26" s="28" t="n">
        <f aca="false">Assumptions!$C$5*Assumptions!$C$6</f>
        <v>125</v>
      </c>
      <c r="K26" s="28" t="n">
        <f aca="false">Assumptions!$C$5*Assumptions!$C$6</f>
        <v>125</v>
      </c>
      <c r="L26" s="28" t="n">
        <f aca="false">Assumptions!$C$5*Assumptions!$C$6</f>
        <v>125</v>
      </c>
      <c r="O26" s="2" t="s">
        <v>183</v>
      </c>
      <c r="Q26" s="28" t="n">
        <f aca="false">Assumptions!$C$5*Assumptions!$C$6</f>
        <v>125</v>
      </c>
      <c r="R26" s="28" t="n">
        <f aca="false">Assumptions!$C$5*Assumptions!$C$6</f>
        <v>125</v>
      </c>
      <c r="S26" s="28" t="n">
        <f aca="false">Assumptions!$C$5*Assumptions!$C$6</f>
        <v>125</v>
      </c>
      <c r="T26" s="47" t="n">
        <f aca="false">Assumptions!$C$10</f>
        <v>230</v>
      </c>
      <c r="U26" s="28" t="n">
        <f aca="false">Assumptions!$C$5*Assumptions!$C$6</f>
        <v>125</v>
      </c>
      <c r="V26" s="28" t="n">
        <f aca="false">Assumptions!$C$5*Assumptions!$C$6</f>
        <v>125</v>
      </c>
      <c r="W26" s="28" t="n">
        <f aca="false">Assumptions!$C$5*Assumptions!$C$6</f>
        <v>125</v>
      </c>
      <c r="X26" s="28" t="n">
        <f aca="false">Assumptions!$C$5*Assumptions!$C$6</f>
        <v>125</v>
      </c>
      <c r="Y26" s="28" t="n">
        <f aca="false">Assumptions!$C$5*Assumptions!$C$6</f>
        <v>125</v>
      </c>
    </row>
    <row r="27" customFormat="false" ht="15" hidden="false" customHeight="false" outlineLevel="0" collapsed="false">
      <c r="B27" s="4" t="s">
        <v>184</v>
      </c>
      <c r="D27" s="30" t="n">
        <v>100</v>
      </c>
      <c r="E27" s="30" t="n">
        <v>100</v>
      </c>
      <c r="F27" s="30" t="n">
        <v>100</v>
      </c>
      <c r="G27" s="48" t="n">
        <v>0</v>
      </c>
      <c r="H27" s="30" t="n">
        <v>0</v>
      </c>
      <c r="I27" s="30" t="n">
        <v>0</v>
      </c>
      <c r="J27" s="30" t="n">
        <v>0</v>
      </c>
      <c r="K27" s="30" t="n">
        <v>0</v>
      </c>
      <c r="L27" s="30" t="n">
        <v>0</v>
      </c>
      <c r="O27" s="4" t="s">
        <v>184</v>
      </c>
      <c r="Q27" s="30" t="n">
        <v>100</v>
      </c>
      <c r="R27" s="30" t="n">
        <v>100</v>
      </c>
      <c r="S27" s="30" t="n">
        <v>100</v>
      </c>
      <c r="T27" s="48" t="n">
        <v>0</v>
      </c>
      <c r="U27" s="30" t="n">
        <v>0</v>
      </c>
      <c r="V27" s="30" t="n">
        <v>0</v>
      </c>
      <c r="W27" s="30" t="n">
        <v>0</v>
      </c>
      <c r="X27" s="30" t="n">
        <v>0</v>
      </c>
      <c r="Y27" s="30" t="n">
        <v>0</v>
      </c>
    </row>
    <row r="28" customFormat="false" ht="15" hidden="false" customHeight="false" outlineLevel="0" collapsed="false">
      <c r="B28" s="4" t="s">
        <v>208</v>
      </c>
      <c r="C28" s="31" t="n">
        <f aca="false">MAX(Assumptions!$C$5*Assumptions!$C$12,D26-(D27))</f>
        <v>25</v>
      </c>
      <c r="D28" s="33" t="n">
        <f aca="false">$C28*Assumptions!$C$23</f>
        <v>25</v>
      </c>
      <c r="E28" s="33" t="n">
        <f aca="false">$C28*Assumptions!$D$23</f>
        <v>3.75</v>
      </c>
      <c r="F28" s="33" t="n">
        <f aca="false">$C28*Assumptions!$E$23</f>
        <v>1.25</v>
      </c>
      <c r="G28" s="49" t="n">
        <f aca="false">$C28*Assumptions!$F$23</f>
        <v>1.25</v>
      </c>
      <c r="M28" s="33" t="n">
        <f aca="false">$C28*Assumptions!$G$23</f>
        <v>31.25</v>
      </c>
      <c r="O28" s="4" t="s">
        <v>209</v>
      </c>
      <c r="P28" s="31" t="n">
        <f aca="false">MAX(Assumptions!$C$5*Assumptions!$C$12,Q26-(Q27))</f>
        <v>25</v>
      </c>
      <c r="Q28" s="33" t="n">
        <f aca="false">$P28*Assumptions!$C$21</f>
        <v>25</v>
      </c>
      <c r="R28" s="33" t="n">
        <f aca="false">$P28*Assumptions!$D$21</f>
        <v>0</v>
      </c>
      <c r="S28" s="33" t="n">
        <f aca="false">$P28*Assumptions!$E$21</f>
        <v>0</v>
      </c>
      <c r="T28" s="49" t="n">
        <f aca="false">$P28*Assumptions!$F$21</f>
        <v>0</v>
      </c>
      <c r="Z28" s="33" t="n">
        <f aca="false">$P28*Assumptions!$G$21</f>
        <v>25</v>
      </c>
    </row>
    <row r="29" customFormat="false" ht="15" hidden="false" customHeight="false" outlineLevel="0" collapsed="false">
      <c r="B29" s="4" t="s">
        <v>210</v>
      </c>
      <c r="C29" s="31" t="n">
        <f aca="false">MAX(Assumptions!$C$5*Assumptions!$C$12,E26-(E27))</f>
        <v>25</v>
      </c>
      <c r="E29" s="33" t="n">
        <f aca="false">$C29*Assumptions!$C$23</f>
        <v>25</v>
      </c>
      <c r="F29" s="33" t="n">
        <f aca="false">$C29*Assumptions!$D$23</f>
        <v>3.75</v>
      </c>
      <c r="G29" s="49" t="n">
        <f aca="false">$C29*Assumptions!$E$23</f>
        <v>1.25</v>
      </c>
      <c r="H29" s="33" t="n">
        <f aca="false">$C29*Assumptions!$F$23</f>
        <v>1.25</v>
      </c>
      <c r="M29" s="33" t="n">
        <f aca="false">$C29*Assumptions!$G$23</f>
        <v>31.25</v>
      </c>
      <c r="O29" s="4" t="s">
        <v>211</v>
      </c>
      <c r="P29" s="31" t="n">
        <f aca="false">MAX(Assumptions!$C$5*Assumptions!$C$12,R26-(R27))</f>
        <v>25</v>
      </c>
      <c r="R29" s="33" t="n">
        <f aca="false">$P29*Assumptions!$C$21</f>
        <v>25</v>
      </c>
      <c r="S29" s="33" t="n">
        <f aca="false">$P29*Assumptions!$D$21</f>
        <v>0</v>
      </c>
      <c r="T29" s="49" t="n">
        <f aca="false">$P29*Assumptions!$E$21</f>
        <v>0</v>
      </c>
      <c r="U29" s="33" t="n">
        <f aca="false">$P29*Assumptions!$F$21</f>
        <v>0</v>
      </c>
      <c r="Z29" s="33" t="n">
        <f aca="false">$P29*Assumptions!$G$21</f>
        <v>25</v>
      </c>
    </row>
    <row r="30" customFormat="false" ht="15" hidden="false" customHeight="false" outlineLevel="0" collapsed="false">
      <c r="B30" s="4" t="s">
        <v>212</v>
      </c>
      <c r="C30" s="31" t="n">
        <f aca="false">MAX(Assumptions!$C$5*Assumptions!$C$12,F26-(F27))</f>
        <v>25</v>
      </c>
      <c r="F30" s="33" t="n">
        <f aca="false">$C30*Assumptions!$C$23</f>
        <v>25</v>
      </c>
      <c r="G30" s="49" t="n">
        <f aca="false">$C30*Assumptions!$D$23</f>
        <v>3.75</v>
      </c>
      <c r="H30" s="33" t="n">
        <f aca="false">$C30*Assumptions!$E$23</f>
        <v>1.25</v>
      </c>
      <c r="I30" s="33" t="n">
        <f aca="false">$C30*Assumptions!$F$23</f>
        <v>1.25</v>
      </c>
      <c r="M30" s="33" t="n">
        <f aca="false">$C30*Assumptions!$G$23</f>
        <v>31.25</v>
      </c>
      <c r="O30" s="4" t="s">
        <v>213</v>
      </c>
      <c r="P30" s="31" t="n">
        <f aca="false">MAX(Assumptions!$C$5*Assumptions!$C$12,S26-(S27))</f>
        <v>25</v>
      </c>
      <c r="S30" s="33" t="n">
        <f aca="false">$P30*Assumptions!$C$21</f>
        <v>25</v>
      </c>
      <c r="T30" s="49" t="n">
        <f aca="false">$P30*Assumptions!$D$21</f>
        <v>0</v>
      </c>
      <c r="U30" s="33" t="n">
        <f aca="false">$P30*Assumptions!$E$21</f>
        <v>0</v>
      </c>
      <c r="V30" s="33" t="n">
        <f aca="false">$P30*Assumptions!$F$21</f>
        <v>0</v>
      </c>
      <c r="Z30" s="33" t="n">
        <f aca="false">$P30*Assumptions!$G$21</f>
        <v>25</v>
      </c>
    </row>
    <row r="31" customFormat="false" ht="15" hidden="false" customHeight="false" outlineLevel="0" collapsed="false">
      <c r="B31" s="4" t="s">
        <v>256</v>
      </c>
      <c r="C31" s="31" t="n">
        <f aca="false">MAX(Assumptions!$C$5*Assumptions!$C$12,G26-(G27))</f>
        <v>200</v>
      </c>
      <c r="G31" s="49" t="n">
        <f aca="false">$C31*Assumptions!$C$23</f>
        <v>200</v>
      </c>
      <c r="H31" s="33" t="n">
        <f aca="false">$C31*Assumptions!$D$23</f>
        <v>30</v>
      </c>
      <c r="I31" s="33" t="n">
        <f aca="false">$C31*Assumptions!$E$23</f>
        <v>10</v>
      </c>
      <c r="J31" s="33" t="n">
        <f aca="false">$C31*Assumptions!$F$23</f>
        <v>10</v>
      </c>
      <c r="M31" s="33" t="n">
        <f aca="false">$C31*Assumptions!$G$23</f>
        <v>250</v>
      </c>
      <c r="O31" s="4" t="s">
        <v>257</v>
      </c>
      <c r="P31" s="31" t="n">
        <f aca="false">Assumptions!$C$10</f>
        <v>230</v>
      </c>
      <c r="T31" s="49" t="n">
        <f aca="false">$P31*Assumptions!$C$19</f>
        <v>230</v>
      </c>
      <c r="U31" s="33" t="n">
        <f aca="false">$P31*Assumptions!$D$19</f>
        <v>115</v>
      </c>
      <c r="V31" s="33" t="n">
        <f aca="false">$P31*Assumptions!$E$19</f>
        <v>0</v>
      </c>
      <c r="W31" s="33" t="n">
        <f aca="false">$P31*Assumptions!$F$19</f>
        <v>0</v>
      </c>
      <c r="Z31" s="33" t="n">
        <f aca="false">$P31*Assumptions!$G$19</f>
        <v>345</v>
      </c>
    </row>
    <row r="32" customFormat="false" ht="15" hidden="false" customHeight="false" outlineLevel="0" collapsed="false">
      <c r="B32" s="4" t="s">
        <v>246</v>
      </c>
      <c r="C32" s="31" t="n">
        <f aca="false">Assumptions!$C$5*Assumptions!$C$8</f>
        <v>200</v>
      </c>
      <c r="G32" s="50"/>
      <c r="H32" s="33" t="n">
        <f aca="false">$C32*Assumptions!$C$17</f>
        <v>200</v>
      </c>
      <c r="I32" s="33" t="n">
        <f aca="false">$C32*Assumptions!$D$17</f>
        <v>30</v>
      </c>
      <c r="J32" s="33" t="n">
        <f aca="false">$C32*Assumptions!$E$17</f>
        <v>10</v>
      </c>
      <c r="K32" s="33" t="n">
        <f aca="false">$C32*Assumptions!$F$17</f>
        <v>10</v>
      </c>
      <c r="M32" s="33" t="n">
        <f aca="false">$C32*Assumptions!$G$17</f>
        <v>250</v>
      </c>
      <c r="O32" s="4" t="s">
        <v>247</v>
      </c>
      <c r="P32" s="31" t="n">
        <f aca="false">Assumptions!$C$11*Assumptions!$C$10</f>
        <v>115</v>
      </c>
      <c r="T32" s="50"/>
      <c r="U32" s="33" t="n">
        <f aca="false">$P32*Assumptions!$C$18</f>
        <v>115</v>
      </c>
      <c r="V32" s="33" t="n">
        <f aca="false">$P32*Assumptions!$D$18</f>
        <v>115</v>
      </c>
      <c r="W32" s="33" t="n">
        <f aca="false">$P32*Assumptions!$E$18</f>
        <v>0</v>
      </c>
      <c r="X32" s="33" t="n">
        <f aca="false">$P32*Assumptions!$F$18</f>
        <v>0</v>
      </c>
      <c r="Z32" s="33" t="n">
        <f aca="false">$P32*Assumptions!$G$18</f>
        <v>230</v>
      </c>
    </row>
    <row r="33" customFormat="false" ht="15" hidden="false" customHeight="false" outlineLevel="0" collapsed="false">
      <c r="B33" s="4" t="s">
        <v>248</v>
      </c>
      <c r="C33" s="31" t="n">
        <f aca="false">Assumptions!$C$5*Assumptions!$C$8</f>
        <v>200</v>
      </c>
      <c r="G33" s="50"/>
      <c r="I33" s="33" t="n">
        <f aca="false">$C33*Assumptions!$C$17</f>
        <v>200</v>
      </c>
      <c r="J33" s="33" t="n">
        <f aca="false">$C33*Assumptions!$D$17</f>
        <v>30</v>
      </c>
      <c r="K33" s="33" t="n">
        <f aca="false">$C33*Assumptions!$E$17</f>
        <v>10</v>
      </c>
      <c r="L33" s="33" t="n">
        <f aca="false">$C33*Assumptions!$F$17</f>
        <v>10</v>
      </c>
      <c r="M33" s="33" t="n">
        <f aca="false">$C33*Assumptions!$G$17</f>
        <v>250</v>
      </c>
      <c r="O33" s="4" t="s">
        <v>249</v>
      </c>
      <c r="P33" s="31" t="n">
        <f aca="false">Assumptions!$C$11*Assumptions!$C$10</f>
        <v>115</v>
      </c>
      <c r="T33" s="50"/>
      <c r="V33" s="33" t="n">
        <f aca="false">$P33*Assumptions!$C$18</f>
        <v>115</v>
      </c>
      <c r="W33" s="33" t="n">
        <f aca="false">$P33*Assumptions!$D$18</f>
        <v>115</v>
      </c>
      <c r="X33" s="33" t="n">
        <f aca="false">$P33*Assumptions!$E$18</f>
        <v>0</v>
      </c>
      <c r="Y33" s="33" t="n">
        <f aca="false">$P33*Assumptions!$F$18</f>
        <v>0</v>
      </c>
      <c r="Z33" s="33" t="n">
        <f aca="false">$P33*Assumptions!$G$18</f>
        <v>230</v>
      </c>
    </row>
    <row r="34" customFormat="false" ht="15" hidden="false" customHeight="false" outlineLevel="0" collapsed="false">
      <c r="B34" s="4" t="s">
        <v>250</v>
      </c>
      <c r="C34" s="31" t="n">
        <f aca="false">Assumptions!$C$5*Assumptions!$C$8</f>
        <v>200</v>
      </c>
      <c r="G34" s="50"/>
      <c r="J34" s="33" t="n">
        <f aca="false">$C34*Assumptions!$C$17</f>
        <v>200</v>
      </c>
      <c r="K34" s="33" t="n">
        <f aca="false">$C34*Assumptions!$D$17</f>
        <v>30</v>
      </c>
      <c r="L34" s="33" t="n">
        <f aca="false">$C34*Assumptions!$E$17</f>
        <v>10</v>
      </c>
      <c r="M34" s="33" t="n">
        <f aca="false">$C34*Assumptions!$G$17</f>
        <v>250</v>
      </c>
      <c r="O34" s="4" t="s">
        <v>251</v>
      </c>
      <c r="P34" s="31" t="n">
        <f aca="false">Assumptions!$C$11*Assumptions!$C$10</f>
        <v>115</v>
      </c>
      <c r="T34" s="50"/>
      <c r="W34" s="33" t="n">
        <f aca="false">$P34*Assumptions!$C$18</f>
        <v>115</v>
      </c>
      <c r="X34" s="33" t="n">
        <f aca="false">$P34*Assumptions!$D$18</f>
        <v>115</v>
      </c>
      <c r="Y34" s="33" t="n">
        <f aca="false">$P34*Assumptions!$E$18</f>
        <v>0</v>
      </c>
      <c r="Z34" s="33" t="n">
        <f aca="false">$P34*Assumptions!$G$18</f>
        <v>230</v>
      </c>
    </row>
    <row r="35" customFormat="false" ht="15" hidden="false" customHeight="false" outlineLevel="0" collapsed="false">
      <c r="B35" s="4" t="s">
        <v>252</v>
      </c>
      <c r="C35" s="31" t="n">
        <f aca="false">Assumptions!$C$5*Assumptions!$C$8</f>
        <v>200</v>
      </c>
      <c r="G35" s="50"/>
      <c r="K35" s="33" t="n">
        <f aca="false">$C35*Assumptions!$C$17</f>
        <v>200</v>
      </c>
      <c r="L35" s="33" t="n">
        <f aca="false">$C35*Assumptions!$D$17</f>
        <v>30</v>
      </c>
      <c r="M35" s="33" t="n">
        <f aca="false">$C35*Assumptions!$G$17</f>
        <v>250</v>
      </c>
      <c r="O35" s="4" t="s">
        <v>253</v>
      </c>
      <c r="P35" s="31" t="n">
        <f aca="false">Assumptions!$C$11*Assumptions!$C$10</f>
        <v>115</v>
      </c>
      <c r="T35" s="50"/>
      <c r="X35" s="33" t="n">
        <f aca="false">$P35*Assumptions!$C$18</f>
        <v>115</v>
      </c>
      <c r="Y35" s="33" t="n">
        <f aca="false">$P35*Assumptions!$D$18</f>
        <v>115</v>
      </c>
      <c r="Z35" s="33" t="n">
        <f aca="false">$P35*Assumptions!$G$18</f>
        <v>230</v>
      </c>
    </row>
    <row r="36" customFormat="false" ht="15" hidden="false" customHeight="false" outlineLevel="0" collapsed="false">
      <c r="B36" s="4" t="s">
        <v>254</v>
      </c>
      <c r="C36" s="31" t="n">
        <f aca="false">Assumptions!$C$5*Assumptions!$C$8</f>
        <v>200</v>
      </c>
      <c r="G36" s="50"/>
      <c r="L36" s="33" t="n">
        <f aca="false">$C36*Assumptions!$C$17</f>
        <v>200</v>
      </c>
      <c r="M36" s="33" t="n">
        <f aca="false">$C36*Assumptions!$G$17</f>
        <v>250</v>
      </c>
      <c r="O36" s="4" t="s">
        <v>255</v>
      </c>
      <c r="P36" s="31" t="n">
        <f aca="false">Assumptions!$C$11*Assumptions!$C$10</f>
        <v>115</v>
      </c>
      <c r="T36" s="50"/>
      <c r="Y36" s="33" t="n">
        <f aca="false">$P36*Assumptions!$C$18</f>
        <v>115</v>
      </c>
      <c r="Z36" s="33" t="n">
        <f aca="false">$P36*Assumptions!$G$18</f>
        <v>230</v>
      </c>
    </row>
    <row r="37" customFormat="false" ht="15" hidden="false" customHeight="false" outlineLevel="0" collapsed="false">
      <c r="B37" s="8" t="s">
        <v>203</v>
      </c>
      <c r="C37" s="8" t="s">
        <v>204</v>
      </c>
      <c r="D37" s="13" t="n">
        <f aca="false">D27+SUM(D28:D36)</f>
        <v>125</v>
      </c>
      <c r="E37" s="13" t="n">
        <f aca="false">E27+SUM(E28:E36)</f>
        <v>128.75</v>
      </c>
      <c r="F37" s="13" t="n">
        <f aca="false">F27+SUM(F28:F36)</f>
        <v>130</v>
      </c>
      <c r="G37" s="48" t="n">
        <f aca="false">G27+SUM(G28:G36)</f>
        <v>206.25</v>
      </c>
      <c r="H37" s="13" t="n">
        <f aca="false">H27+SUM(H28:H36)</f>
        <v>232.5</v>
      </c>
      <c r="I37" s="13" t="n">
        <f aca="false">I27+SUM(I28:I36)</f>
        <v>241.25</v>
      </c>
      <c r="J37" s="13" t="n">
        <f aca="false">J27+SUM(J28:J36)</f>
        <v>250</v>
      </c>
      <c r="K37" s="13" t="n">
        <f aca="false">K27+SUM(K28:K36)</f>
        <v>250</v>
      </c>
      <c r="L37" s="13" t="n">
        <f aca="false">L27+SUM(L28:L36)</f>
        <v>250</v>
      </c>
      <c r="M37" s="13" t="n">
        <f aca="false">SUM(M28:M36)</f>
        <v>1593.75</v>
      </c>
      <c r="O37" s="8" t="s">
        <v>203</v>
      </c>
      <c r="P37" s="8" t="s">
        <v>204</v>
      </c>
      <c r="Q37" s="13" t="n">
        <f aca="false">Q27+SUM(Q28:Q36)</f>
        <v>125</v>
      </c>
      <c r="R37" s="13" t="n">
        <f aca="false">R27+SUM(R28:R36)</f>
        <v>125</v>
      </c>
      <c r="S37" s="13" t="n">
        <f aca="false">S27+SUM(S28:S36)</f>
        <v>125</v>
      </c>
      <c r="T37" s="48" t="n">
        <f aca="false">T27+SUM(T28:T36)</f>
        <v>230</v>
      </c>
      <c r="U37" s="13" t="n">
        <f aca="false">U27+SUM(U28:U36)</f>
        <v>230</v>
      </c>
      <c r="V37" s="13" t="n">
        <f aca="false">V27+SUM(V28:V36)</f>
        <v>230</v>
      </c>
      <c r="W37" s="13" t="n">
        <f aca="false">W27+SUM(W28:W36)</f>
        <v>230</v>
      </c>
      <c r="X37" s="13" t="n">
        <f aca="false">X27+SUM(X28:X36)</f>
        <v>230</v>
      </c>
      <c r="Y37" s="13" t="n">
        <f aca="false">Y27+SUM(Y28:Y36)</f>
        <v>230</v>
      </c>
      <c r="Z37" s="13" t="n">
        <f aca="false">SUM(Z28:Z36)</f>
        <v>1570</v>
      </c>
    </row>
    <row r="38" customFormat="false" ht="15" hidden="false" customHeight="false" outlineLevel="0" collapsed="false">
      <c r="B38" s="2" t="s">
        <v>205</v>
      </c>
      <c r="D38" s="37" t="n">
        <f aca="false">D37/D26</f>
        <v>1</v>
      </c>
      <c r="E38" s="37" t="n">
        <f aca="false">E37/E26</f>
        <v>1.03</v>
      </c>
      <c r="F38" s="37" t="n">
        <f aca="false">F37/F26</f>
        <v>1.04</v>
      </c>
      <c r="G38" s="51" t="n">
        <f aca="false">G37/G26</f>
        <v>1.03125</v>
      </c>
      <c r="H38" s="37" t="n">
        <f aca="false">H37/H26</f>
        <v>1.86</v>
      </c>
      <c r="I38" s="37" t="n">
        <f aca="false">I37/I26</f>
        <v>1.93</v>
      </c>
      <c r="J38" s="37" t="n">
        <f aca="false">J37/J26</f>
        <v>2</v>
      </c>
      <c r="K38" s="37" t="n">
        <f aca="false">K37/K26</f>
        <v>2</v>
      </c>
      <c r="L38" s="37" t="n">
        <f aca="false">L37/L26</f>
        <v>2</v>
      </c>
      <c r="O38" s="2" t="s">
        <v>205</v>
      </c>
      <c r="Q38" s="37" t="n">
        <f aca="false">Q37/Q26</f>
        <v>1</v>
      </c>
      <c r="R38" s="37" t="n">
        <f aca="false">R37/R26</f>
        <v>1</v>
      </c>
      <c r="S38" s="37" t="n">
        <f aca="false">S37/S26</f>
        <v>1</v>
      </c>
      <c r="T38" s="51" t="n">
        <f aca="false">T37/T26</f>
        <v>1</v>
      </c>
      <c r="U38" s="37" t="n">
        <f aca="false">U37/U26</f>
        <v>1.84</v>
      </c>
      <c r="V38" s="37" t="n">
        <f aca="false">V37/V26</f>
        <v>1.84</v>
      </c>
      <c r="W38" s="37" t="n">
        <f aca="false">W37/W26</f>
        <v>1.84</v>
      </c>
      <c r="X38" s="37" t="n">
        <f aca="false">X37/X26</f>
        <v>1.84</v>
      </c>
      <c r="Y38" s="37" t="n">
        <f aca="false">Y37/Y26</f>
        <v>1.84</v>
      </c>
    </row>
    <row r="39" customFormat="false" ht="15" hidden="false" customHeight="false" outlineLevel="0" collapsed="false">
      <c r="B39" s="2" t="s">
        <v>206</v>
      </c>
      <c r="D39" s="39" t="n">
        <f aca="false">D37-Assumptions!$C$5</f>
        <v>25</v>
      </c>
      <c r="E39" s="39" t="n">
        <f aca="false">E37-D37</f>
        <v>3.75</v>
      </c>
      <c r="F39" s="39" t="n">
        <f aca="false">F37-E37</f>
        <v>1.25</v>
      </c>
      <c r="G39" s="52" t="n">
        <f aca="false">G37-F37</f>
        <v>76.25</v>
      </c>
      <c r="H39" s="39" t="n">
        <f aca="false">H37-G37</f>
        <v>26.25</v>
      </c>
      <c r="I39" s="39" t="n">
        <f aca="false">I37-H37</f>
        <v>8.75</v>
      </c>
      <c r="J39" s="39" t="n">
        <f aca="false">J37-I37</f>
        <v>8.75</v>
      </c>
      <c r="K39" s="39" t="n">
        <f aca="false">K37-J37</f>
        <v>0</v>
      </c>
      <c r="L39" s="39" t="n">
        <f aca="false">L37-K37</f>
        <v>0</v>
      </c>
      <c r="O39" s="2" t="s">
        <v>206</v>
      </c>
      <c r="Q39" s="39" t="n">
        <f aca="false">Q37-Assumptions!$C$5</f>
        <v>25</v>
      </c>
      <c r="R39" s="39" t="n">
        <f aca="false">R37-Q37</f>
        <v>0</v>
      </c>
      <c r="S39" s="39" t="n">
        <f aca="false">S37-R37</f>
        <v>0</v>
      </c>
      <c r="T39" s="52" t="n">
        <f aca="false">T37-S37</f>
        <v>105</v>
      </c>
      <c r="U39" s="39" t="n">
        <f aca="false">U37-T37</f>
        <v>0</v>
      </c>
      <c r="V39" s="39" t="n">
        <f aca="false">V37-U37</f>
        <v>0</v>
      </c>
      <c r="W39" s="39" t="n">
        <f aca="false">W37-V37</f>
        <v>0</v>
      </c>
      <c r="X39" s="39" t="n">
        <f aca="false">X37-W37</f>
        <v>0</v>
      </c>
      <c r="Y39" s="39" t="n">
        <f aca="false">Y37-X37</f>
        <v>0</v>
      </c>
    </row>
    <row r="40" customFormat="false" ht="15" hidden="false" customHeight="false" outlineLevel="0" collapsed="false">
      <c r="G40" s="50"/>
      <c r="T40" s="50"/>
    </row>
    <row r="43" customFormat="false" ht="15" hidden="false" customHeight="false" outlineLevel="0" collapsed="false">
      <c r="B43" s="3" t="s">
        <v>222</v>
      </c>
    </row>
    <row r="44" customFormat="false" ht="15" hidden="false" customHeight="false" outlineLevel="0" collapsed="false">
      <c r="B44" s="5" t="s">
        <v>180</v>
      </c>
      <c r="C44" s="7" t="s">
        <v>181</v>
      </c>
      <c r="D44" s="7" t="s">
        <v>91</v>
      </c>
      <c r="E44" s="7" t="s">
        <v>92</v>
      </c>
      <c r="F44" s="7" t="s">
        <v>93</v>
      </c>
      <c r="G44" s="7" t="s">
        <v>94</v>
      </c>
      <c r="H44" s="7" t="s">
        <v>95</v>
      </c>
      <c r="I44" s="7" t="s">
        <v>96</v>
      </c>
      <c r="J44" s="7" t="s">
        <v>97</v>
      </c>
      <c r="K44" s="7" t="s">
        <v>98</v>
      </c>
      <c r="L44" s="7" t="s">
        <v>99</v>
      </c>
      <c r="M44" s="7" t="s">
        <v>100</v>
      </c>
      <c r="O44" s="25" t="s">
        <v>182</v>
      </c>
      <c r="P44" s="26" t="s">
        <v>181</v>
      </c>
      <c r="Q44" s="26" t="s">
        <v>91</v>
      </c>
      <c r="R44" s="26" t="s">
        <v>92</v>
      </c>
      <c r="S44" s="26" t="s">
        <v>93</v>
      </c>
      <c r="T44" s="26" t="s">
        <v>94</v>
      </c>
      <c r="U44" s="26" t="s">
        <v>95</v>
      </c>
      <c r="V44" s="26" t="s">
        <v>96</v>
      </c>
      <c r="W44" s="26" t="s">
        <v>97</v>
      </c>
      <c r="X44" s="26" t="s">
        <v>98</v>
      </c>
      <c r="Y44" s="26" t="s">
        <v>99</v>
      </c>
      <c r="Z44" s="26" t="s">
        <v>100</v>
      </c>
    </row>
    <row r="45" customFormat="false" ht="15" hidden="false" customHeight="false" outlineLevel="0" collapsed="false">
      <c r="B45" s="2" t="s">
        <v>183</v>
      </c>
      <c r="D45" s="28" t="n">
        <f aca="false">Assumptions!$C$5*Assumptions!$C$6</f>
        <v>125</v>
      </c>
      <c r="E45" s="28" t="n">
        <f aca="false">Assumptions!$C$5*Assumptions!$C$6</f>
        <v>125</v>
      </c>
      <c r="F45" s="28" t="n">
        <f aca="false">Assumptions!$C$5*Assumptions!$C$6</f>
        <v>125</v>
      </c>
      <c r="G45" s="47" t="n">
        <f aca="false">Assumptions!$C$5*Assumptions!$C$8</f>
        <v>200</v>
      </c>
      <c r="H45" s="28" t="n">
        <f aca="false">Assumptions!$C$5*Assumptions!$C$6</f>
        <v>125</v>
      </c>
      <c r="I45" s="28" t="n">
        <f aca="false">Assumptions!$C$5*Assumptions!$C$6</f>
        <v>125</v>
      </c>
      <c r="J45" s="28" t="n">
        <f aca="false">Assumptions!$C$5*Assumptions!$C$6</f>
        <v>125</v>
      </c>
      <c r="K45" s="28" t="n">
        <f aca="false">Assumptions!$C$5*Assumptions!$C$6</f>
        <v>125</v>
      </c>
      <c r="L45" s="28" t="n">
        <f aca="false">Assumptions!$C$5*Assumptions!$C$6</f>
        <v>125</v>
      </c>
      <c r="O45" s="2" t="s">
        <v>183</v>
      </c>
      <c r="Q45" s="28" t="n">
        <f aca="false">Assumptions!$C$5*Assumptions!$C$6</f>
        <v>125</v>
      </c>
      <c r="R45" s="28" t="n">
        <f aca="false">Assumptions!$C$5*Assumptions!$C$6</f>
        <v>125</v>
      </c>
      <c r="S45" s="28" t="n">
        <f aca="false">Assumptions!$C$5*Assumptions!$C$6</f>
        <v>125</v>
      </c>
      <c r="T45" s="47" t="n">
        <f aca="false">Assumptions!$C$10</f>
        <v>230</v>
      </c>
      <c r="U45" s="28" t="n">
        <f aca="false">Assumptions!$C$5*Assumptions!$C$6</f>
        <v>125</v>
      </c>
      <c r="V45" s="28" t="n">
        <f aca="false">Assumptions!$C$5*Assumptions!$C$6</f>
        <v>125</v>
      </c>
      <c r="W45" s="28" t="n">
        <f aca="false">Assumptions!$C$5*Assumptions!$C$6</f>
        <v>125</v>
      </c>
      <c r="X45" s="28" t="n">
        <f aca="false">Assumptions!$C$5*Assumptions!$C$6</f>
        <v>125</v>
      </c>
      <c r="Y45" s="28" t="n">
        <f aca="false">Assumptions!$C$5*Assumptions!$C$6</f>
        <v>125</v>
      </c>
    </row>
    <row r="46" customFormat="false" ht="15" hidden="false" customHeight="false" outlineLevel="0" collapsed="false">
      <c r="B46" s="4" t="s">
        <v>184</v>
      </c>
      <c r="D46" s="30" t="n">
        <v>100</v>
      </c>
      <c r="E46" s="30" t="n">
        <v>100</v>
      </c>
      <c r="F46" s="30" t="n">
        <v>100</v>
      </c>
      <c r="G46" s="48" t="n">
        <v>25</v>
      </c>
      <c r="H46" s="30" t="n">
        <v>0</v>
      </c>
      <c r="I46" s="30" t="n">
        <v>0</v>
      </c>
      <c r="J46" s="30" t="n">
        <v>0</v>
      </c>
      <c r="K46" s="30" t="n">
        <v>0</v>
      </c>
      <c r="L46" s="30" t="n">
        <v>0</v>
      </c>
      <c r="O46" s="4" t="s">
        <v>184</v>
      </c>
      <c r="Q46" s="30" t="n">
        <v>100</v>
      </c>
      <c r="R46" s="30" t="n">
        <v>100</v>
      </c>
      <c r="S46" s="30" t="n">
        <v>100</v>
      </c>
      <c r="T46" s="48" t="n">
        <v>25</v>
      </c>
      <c r="U46" s="30" t="n">
        <v>0</v>
      </c>
      <c r="V46" s="30" t="n">
        <v>0</v>
      </c>
      <c r="W46" s="30" t="n">
        <v>0</v>
      </c>
      <c r="X46" s="30" t="n">
        <v>0</v>
      </c>
      <c r="Y46" s="30" t="n">
        <v>0</v>
      </c>
    </row>
    <row r="47" customFormat="false" ht="15" hidden="false" customHeight="false" outlineLevel="0" collapsed="false">
      <c r="B47" s="4" t="s">
        <v>208</v>
      </c>
      <c r="C47" s="31" t="n">
        <f aca="false">MAX(Assumptions!$C$5*Assumptions!$C$12,D45-(D46))</f>
        <v>25</v>
      </c>
      <c r="D47" s="33" t="n">
        <f aca="false">$C47*Assumptions!$C$23</f>
        <v>25</v>
      </c>
      <c r="E47" s="33" t="n">
        <f aca="false">$C47*Assumptions!$D$23</f>
        <v>3.75</v>
      </c>
      <c r="F47" s="33" t="n">
        <f aca="false">$C47*Assumptions!$E$23</f>
        <v>1.25</v>
      </c>
      <c r="G47" s="49" t="n">
        <f aca="false">$C47*Assumptions!$F$23</f>
        <v>1.25</v>
      </c>
      <c r="M47" s="33" t="n">
        <f aca="false">$C47*Assumptions!$G$23</f>
        <v>31.25</v>
      </c>
      <c r="O47" s="4" t="s">
        <v>209</v>
      </c>
      <c r="P47" s="31" t="n">
        <f aca="false">MAX(Assumptions!$C$5*Assumptions!$C$12,Q45-(Q46))</f>
        <v>25</v>
      </c>
      <c r="Q47" s="33" t="n">
        <f aca="false">$P47*Assumptions!$C$21</f>
        <v>25</v>
      </c>
      <c r="R47" s="33" t="n">
        <f aca="false">$P47*Assumptions!$D$21</f>
        <v>0</v>
      </c>
      <c r="S47" s="33" t="n">
        <f aca="false">$P47*Assumptions!$E$21</f>
        <v>0</v>
      </c>
      <c r="T47" s="49" t="n">
        <f aca="false">$P47*Assumptions!$F$21</f>
        <v>0</v>
      </c>
      <c r="Z47" s="33" t="n">
        <f aca="false">$P47*Assumptions!$G$21</f>
        <v>25</v>
      </c>
    </row>
    <row r="48" customFormat="false" ht="15" hidden="false" customHeight="false" outlineLevel="0" collapsed="false">
      <c r="B48" s="4" t="s">
        <v>210</v>
      </c>
      <c r="C48" s="31" t="n">
        <f aca="false">MAX(Assumptions!$C$5*Assumptions!$C$12,E45-(E46))</f>
        <v>25</v>
      </c>
      <c r="E48" s="33" t="n">
        <f aca="false">$C48*Assumptions!$C$23</f>
        <v>25</v>
      </c>
      <c r="F48" s="33" t="n">
        <f aca="false">$C48*Assumptions!$D$23</f>
        <v>3.75</v>
      </c>
      <c r="G48" s="49" t="n">
        <f aca="false">$C48*Assumptions!$E$23</f>
        <v>1.25</v>
      </c>
      <c r="H48" s="33" t="n">
        <f aca="false">$C48*Assumptions!$F$23</f>
        <v>1.25</v>
      </c>
      <c r="M48" s="33" t="n">
        <f aca="false">$C48*Assumptions!$G$23</f>
        <v>31.25</v>
      </c>
      <c r="O48" s="4" t="s">
        <v>211</v>
      </c>
      <c r="P48" s="31" t="n">
        <f aca="false">MAX(Assumptions!$C$5*Assumptions!$C$12,R45-(R46))</f>
        <v>25</v>
      </c>
      <c r="R48" s="33" t="n">
        <f aca="false">$P48*Assumptions!$C$21</f>
        <v>25</v>
      </c>
      <c r="S48" s="33" t="n">
        <f aca="false">$P48*Assumptions!$D$21</f>
        <v>0</v>
      </c>
      <c r="T48" s="49" t="n">
        <f aca="false">$P48*Assumptions!$E$21</f>
        <v>0</v>
      </c>
      <c r="U48" s="33" t="n">
        <f aca="false">$P48*Assumptions!$F$21</f>
        <v>0</v>
      </c>
      <c r="Z48" s="33" t="n">
        <f aca="false">$P48*Assumptions!$G$21</f>
        <v>25</v>
      </c>
    </row>
    <row r="49" customFormat="false" ht="15" hidden="false" customHeight="false" outlineLevel="0" collapsed="false">
      <c r="B49" s="4" t="s">
        <v>212</v>
      </c>
      <c r="C49" s="31" t="n">
        <f aca="false">MAX(Assumptions!$C$5*Assumptions!$C$12,F45-(F46))</f>
        <v>25</v>
      </c>
      <c r="F49" s="33" t="n">
        <f aca="false">$C49*Assumptions!$C$23</f>
        <v>25</v>
      </c>
      <c r="G49" s="49" t="n">
        <f aca="false">$C49*Assumptions!$D$23</f>
        <v>3.75</v>
      </c>
      <c r="H49" s="33" t="n">
        <f aca="false">$C49*Assumptions!$E$23</f>
        <v>1.25</v>
      </c>
      <c r="I49" s="33" t="n">
        <f aca="false">$C49*Assumptions!$F$23</f>
        <v>1.25</v>
      </c>
      <c r="M49" s="33" t="n">
        <f aca="false">$C49*Assumptions!$G$23</f>
        <v>31.25</v>
      </c>
      <c r="O49" s="4" t="s">
        <v>213</v>
      </c>
      <c r="P49" s="31" t="n">
        <f aca="false">MAX(Assumptions!$C$5*Assumptions!$C$12,S45-(S46))</f>
        <v>25</v>
      </c>
      <c r="S49" s="33" t="n">
        <f aca="false">$P49*Assumptions!$C$21</f>
        <v>25</v>
      </c>
      <c r="T49" s="49" t="n">
        <f aca="false">$P49*Assumptions!$D$21</f>
        <v>0</v>
      </c>
      <c r="U49" s="33" t="n">
        <f aca="false">$P49*Assumptions!$E$21</f>
        <v>0</v>
      </c>
      <c r="V49" s="33" t="n">
        <f aca="false">$P49*Assumptions!$F$21</f>
        <v>0</v>
      </c>
      <c r="Z49" s="33" t="n">
        <f aca="false">$P49*Assumptions!$G$21</f>
        <v>25</v>
      </c>
    </row>
    <row r="50" customFormat="false" ht="15" hidden="false" customHeight="false" outlineLevel="0" collapsed="false">
      <c r="B50" s="4" t="s">
        <v>256</v>
      </c>
      <c r="C50" s="31" t="n">
        <f aca="false">MAX(Assumptions!$C$5*Assumptions!$C$12,G45-(G46))</f>
        <v>175</v>
      </c>
      <c r="G50" s="49" t="n">
        <f aca="false">$C50*Assumptions!$C$23</f>
        <v>175</v>
      </c>
      <c r="H50" s="33" t="n">
        <f aca="false">$C50*Assumptions!$D$23</f>
        <v>26.25</v>
      </c>
      <c r="I50" s="33" t="n">
        <f aca="false">$C50*Assumptions!$E$23</f>
        <v>8.75</v>
      </c>
      <c r="J50" s="33" t="n">
        <f aca="false">$C50*Assumptions!$F$23</f>
        <v>8.75</v>
      </c>
      <c r="M50" s="33" t="n">
        <f aca="false">$C50*Assumptions!$G$23</f>
        <v>218.75</v>
      </c>
      <c r="O50" s="4" t="s">
        <v>223</v>
      </c>
      <c r="P50" s="31" t="n">
        <f aca="false">T45-(T46+$P51)</f>
        <v>90</v>
      </c>
      <c r="T50" s="49" t="n">
        <f aca="false">$P50*Assumptions!$C$21</f>
        <v>90</v>
      </c>
      <c r="U50" s="33" t="n">
        <f aca="false">$P50*Assumptions!$D$21</f>
        <v>0</v>
      </c>
      <c r="V50" s="33" t="n">
        <f aca="false">$P50*Assumptions!$E$21</f>
        <v>0</v>
      </c>
      <c r="W50" s="33" t="n">
        <f aca="false">$P50*Assumptions!$F$21</f>
        <v>0</v>
      </c>
      <c r="Z50" s="33" t="n">
        <f aca="false">$P50*Assumptions!$G$21</f>
        <v>90</v>
      </c>
    </row>
    <row r="51" customFormat="false" ht="15" hidden="false" customHeight="false" outlineLevel="0" collapsed="false">
      <c r="B51" s="4" t="s">
        <v>246</v>
      </c>
      <c r="C51" s="31" t="n">
        <f aca="false">Assumptions!$C$5*Assumptions!$C$8</f>
        <v>200</v>
      </c>
      <c r="G51" s="50"/>
      <c r="H51" s="33" t="n">
        <f aca="false">$C51*Assumptions!$C$17</f>
        <v>200</v>
      </c>
      <c r="I51" s="33" t="n">
        <f aca="false">$C51*Assumptions!$D$17</f>
        <v>30</v>
      </c>
      <c r="J51" s="33" t="n">
        <f aca="false">$C51*Assumptions!$E$17</f>
        <v>10</v>
      </c>
      <c r="K51" s="33" t="n">
        <f aca="false">$C51*Assumptions!$F$17</f>
        <v>10</v>
      </c>
      <c r="M51" s="33" t="n">
        <f aca="false">$C51*Assumptions!$G$17</f>
        <v>250</v>
      </c>
      <c r="O51" s="4" t="s">
        <v>224</v>
      </c>
      <c r="P51" s="31" t="n">
        <f aca="false">Assumptions!$C$11*Assumptions!$C$10</f>
        <v>115</v>
      </c>
      <c r="T51" s="49" t="n">
        <f aca="false">$P51*Assumptions!$C$18</f>
        <v>115</v>
      </c>
      <c r="U51" s="33" t="n">
        <f aca="false">$P51*Assumptions!$D$18</f>
        <v>115</v>
      </c>
      <c r="V51" s="33" t="n">
        <f aca="false">$P51*Assumptions!$E$18</f>
        <v>0</v>
      </c>
      <c r="W51" s="33" t="n">
        <f aca="false">$P51*Assumptions!$F$18</f>
        <v>0</v>
      </c>
      <c r="Z51" s="33" t="n">
        <f aca="false">$P51*Assumptions!$G$18</f>
        <v>230</v>
      </c>
    </row>
    <row r="52" customFormat="false" ht="15" hidden="false" customHeight="false" outlineLevel="0" collapsed="false">
      <c r="B52" s="4" t="s">
        <v>248</v>
      </c>
      <c r="C52" s="31" t="n">
        <f aca="false">Assumptions!$C$5*Assumptions!$C$8</f>
        <v>200</v>
      </c>
      <c r="G52" s="50"/>
      <c r="I52" s="33" t="n">
        <f aca="false">$C52*Assumptions!$C$17</f>
        <v>200</v>
      </c>
      <c r="J52" s="33" t="n">
        <f aca="false">$C52*Assumptions!$D$17</f>
        <v>30</v>
      </c>
      <c r="K52" s="33" t="n">
        <f aca="false">$C52*Assumptions!$E$17</f>
        <v>10</v>
      </c>
      <c r="L52" s="33" t="n">
        <f aca="false">$C52*Assumptions!$F$17</f>
        <v>10</v>
      </c>
      <c r="M52" s="33" t="n">
        <f aca="false">$C52*Assumptions!$G$17</f>
        <v>250</v>
      </c>
      <c r="O52" s="4" t="s">
        <v>247</v>
      </c>
      <c r="P52" s="31" t="n">
        <f aca="false">Assumptions!$C$11*Assumptions!$C$10</f>
        <v>115</v>
      </c>
      <c r="T52" s="50"/>
      <c r="U52" s="33" t="n">
        <f aca="false">$P52*Assumptions!$C$18</f>
        <v>115</v>
      </c>
      <c r="V52" s="33" t="n">
        <f aca="false">$P52*Assumptions!$D$18</f>
        <v>115</v>
      </c>
      <c r="W52" s="33" t="n">
        <f aca="false">$P52*Assumptions!$E$18</f>
        <v>0</v>
      </c>
      <c r="X52" s="33" t="n">
        <f aca="false">$P52*Assumptions!$F$18</f>
        <v>0</v>
      </c>
      <c r="Z52" s="33" t="n">
        <f aca="false">$P52*Assumptions!$G$18</f>
        <v>230</v>
      </c>
    </row>
    <row r="53" customFormat="false" ht="15" hidden="false" customHeight="false" outlineLevel="0" collapsed="false">
      <c r="B53" s="4" t="s">
        <v>250</v>
      </c>
      <c r="C53" s="31" t="n">
        <f aca="false">Assumptions!$C$5*Assumptions!$C$8</f>
        <v>200</v>
      </c>
      <c r="G53" s="50"/>
      <c r="J53" s="33" t="n">
        <f aca="false">$C53*Assumptions!$C$17</f>
        <v>200</v>
      </c>
      <c r="K53" s="33" t="n">
        <f aca="false">$C53*Assumptions!$D$17</f>
        <v>30</v>
      </c>
      <c r="L53" s="33" t="n">
        <f aca="false">$C53*Assumptions!$E$17</f>
        <v>10</v>
      </c>
      <c r="M53" s="33" t="n">
        <f aca="false">$C53*Assumptions!$G$17</f>
        <v>250</v>
      </c>
      <c r="O53" s="4" t="s">
        <v>249</v>
      </c>
      <c r="P53" s="31" t="n">
        <f aca="false">Assumptions!$C$11*Assumptions!$C$10</f>
        <v>115</v>
      </c>
      <c r="T53" s="50"/>
      <c r="V53" s="33" t="n">
        <f aca="false">$P53*Assumptions!$C$18</f>
        <v>115</v>
      </c>
      <c r="W53" s="33" t="n">
        <f aca="false">$P53*Assumptions!$D$18</f>
        <v>115</v>
      </c>
      <c r="X53" s="33" t="n">
        <f aca="false">$P53*Assumptions!$E$18</f>
        <v>0</v>
      </c>
      <c r="Y53" s="33" t="n">
        <f aca="false">$P53*Assumptions!$F$18</f>
        <v>0</v>
      </c>
      <c r="Z53" s="33" t="n">
        <f aca="false">$P53*Assumptions!$G$18</f>
        <v>230</v>
      </c>
    </row>
    <row r="54" customFormat="false" ht="15" hidden="false" customHeight="false" outlineLevel="0" collapsed="false">
      <c r="B54" s="4" t="s">
        <v>252</v>
      </c>
      <c r="C54" s="31" t="n">
        <f aca="false">Assumptions!$C$5*Assumptions!$C$8</f>
        <v>200</v>
      </c>
      <c r="G54" s="50"/>
      <c r="K54" s="33" t="n">
        <f aca="false">$C54*Assumptions!$C$17</f>
        <v>200</v>
      </c>
      <c r="L54" s="33" t="n">
        <f aca="false">$C54*Assumptions!$D$17</f>
        <v>30</v>
      </c>
      <c r="M54" s="33" t="n">
        <f aca="false">$C54*Assumptions!$G$17</f>
        <v>250</v>
      </c>
      <c r="O54" s="4" t="s">
        <v>251</v>
      </c>
      <c r="P54" s="31" t="n">
        <f aca="false">Assumptions!$C$11*Assumptions!$C$10</f>
        <v>115</v>
      </c>
      <c r="T54" s="50"/>
      <c r="W54" s="33" t="n">
        <f aca="false">$P54*Assumptions!$C$18</f>
        <v>115</v>
      </c>
      <c r="X54" s="33" t="n">
        <f aca="false">$P54*Assumptions!$D$18</f>
        <v>115</v>
      </c>
      <c r="Y54" s="33" t="n">
        <f aca="false">$P54*Assumptions!$E$18</f>
        <v>0</v>
      </c>
      <c r="Z54" s="33" t="n">
        <f aca="false">$P54*Assumptions!$G$18</f>
        <v>230</v>
      </c>
    </row>
    <row r="55" customFormat="false" ht="15" hidden="false" customHeight="false" outlineLevel="0" collapsed="false">
      <c r="B55" s="4" t="s">
        <v>254</v>
      </c>
      <c r="C55" s="31" t="n">
        <f aca="false">Assumptions!$C$5*Assumptions!$C$8</f>
        <v>200</v>
      </c>
      <c r="G55" s="50"/>
      <c r="L55" s="33" t="n">
        <f aca="false">$C55*Assumptions!$C$17</f>
        <v>200</v>
      </c>
      <c r="M55" s="33" t="n">
        <f aca="false">$C55*Assumptions!$G$17</f>
        <v>250</v>
      </c>
      <c r="O55" s="4" t="s">
        <v>253</v>
      </c>
      <c r="P55" s="31" t="n">
        <f aca="false">Assumptions!$C$11*Assumptions!$C$10</f>
        <v>115</v>
      </c>
      <c r="T55" s="50"/>
      <c r="X55" s="33" t="n">
        <f aca="false">$P55*Assumptions!$C$18</f>
        <v>115</v>
      </c>
      <c r="Y55" s="33" t="n">
        <f aca="false">$P55*Assumptions!$D$18</f>
        <v>115</v>
      </c>
      <c r="Z55" s="33" t="n">
        <f aca="false">$P55*Assumptions!$G$18</f>
        <v>230</v>
      </c>
    </row>
    <row r="56" customFormat="false" ht="15" hidden="false" customHeight="false" outlineLevel="0" collapsed="false">
      <c r="B56" s="8" t="s">
        <v>203</v>
      </c>
      <c r="C56" s="8" t="s">
        <v>204</v>
      </c>
      <c r="D56" s="13" t="n">
        <f aca="false">D46+SUM(D47:D55)</f>
        <v>125</v>
      </c>
      <c r="E56" s="13" t="n">
        <f aca="false">E46+SUM(E47:E55)</f>
        <v>128.75</v>
      </c>
      <c r="F56" s="13" t="n">
        <f aca="false">F46+SUM(F47:F55)</f>
        <v>130</v>
      </c>
      <c r="G56" s="48" t="n">
        <f aca="false">G46+SUM(G47:G55)</f>
        <v>206.25</v>
      </c>
      <c r="H56" s="13" t="n">
        <f aca="false">H46+SUM(H47:H55)</f>
        <v>228.75</v>
      </c>
      <c r="I56" s="13" t="n">
        <f aca="false">I46+SUM(I47:I55)</f>
        <v>240</v>
      </c>
      <c r="J56" s="13" t="n">
        <f aca="false">J46+SUM(J47:J55)</f>
        <v>248.75</v>
      </c>
      <c r="K56" s="13" t="n">
        <f aca="false">K46+SUM(K47:K55)</f>
        <v>250</v>
      </c>
      <c r="L56" s="13" t="n">
        <f aca="false">L46+SUM(L47:L55)</f>
        <v>250</v>
      </c>
      <c r="M56" s="13" t="n">
        <f aca="false">SUM(M47:M55)</f>
        <v>1562.5</v>
      </c>
      <c r="O56" s="4" t="s">
        <v>255</v>
      </c>
      <c r="P56" s="31" t="n">
        <f aca="false">Assumptions!$C$11*Assumptions!$C$10</f>
        <v>115</v>
      </c>
      <c r="T56" s="50"/>
      <c r="Y56" s="33" t="n">
        <f aca="false">$P56*Assumptions!$C$18</f>
        <v>115</v>
      </c>
      <c r="Z56" s="33" t="n">
        <f aca="false">$P56*Assumptions!$G$18</f>
        <v>230</v>
      </c>
    </row>
    <row r="57" customFormat="false" ht="15" hidden="false" customHeight="false" outlineLevel="0" collapsed="false">
      <c r="B57" s="2" t="s">
        <v>205</v>
      </c>
      <c r="D57" s="37" t="n">
        <f aca="false">D56/D45</f>
        <v>1</v>
      </c>
      <c r="E57" s="37" t="n">
        <f aca="false">E56/E45</f>
        <v>1.03</v>
      </c>
      <c r="F57" s="37" t="n">
        <f aca="false">F56/F45</f>
        <v>1.04</v>
      </c>
      <c r="G57" s="51" t="n">
        <f aca="false">G56/G45</f>
        <v>1.03125</v>
      </c>
      <c r="H57" s="37" t="n">
        <f aca="false">H56/H45</f>
        <v>1.83</v>
      </c>
      <c r="I57" s="37" t="n">
        <f aca="false">I56/I45</f>
        <v>1.92</v>
      </c>
      <c r="J57" s="37" t="n">
        <f aca="false">J56/J45</f>
        <v>1.99</v>
      </c>
      <c r="K57" s="37" t="n">
        <f aca="false">K56/K45</f>
        <v>2</v>
      </c>
      <c r="L57" s="37" t="n">
        <f aca="false">L56/L45</f>
        <v>2</v>
      </c>
      <c r="O57" s="8" t="s">
        <v>203</v>
      </c>
      <c r="P57" s="8" t="s">
        <v>204</v>
      </c>
      <c r="Q57" s="13" t="n">
        <f aca="false">Q46+SUM(Q47:Q56)</f>
        <v>125</v>
      </c>
      <c r="R57" s="13" t="n">
        <f aca="false">R46+SUM(R47:R56)</f>
        <v>125</v>
      </c>
      <c r="S57" s="13" t="n">
        <f aca="false">S46+SUM(S47:S56)</f>
        <v>125</v>
      </c>
      <c r="T57" s="48" t="n">
        <f aca="false">T46+SUM(T47:T56)</f>
        <v>230</v>
      </c>
      <c r="U57" s="13" t="n">
        <f aca="false">U46+SUM(U47:U56)</f>
        <v>230</v>
      </c>
      <c r="V57" s="13" t="n">
        <f aca="false">V46+SUM(V47:V56)</f>
        <v>230</v>
      </c>
      <c r="W57" s="13" t="n">
        <f aca="false">W46+SUM(W47:W56)</f>
        <v>230</v>
      </c>
      <c r="X57" s="13" t="n">
        <f aca="false">X46+SUM(X47:X56)</f>
        <v>230</v>
      </c>
      <c r="Y57" s="13" t="n">
        <f aca="false">Y46+SUM(Y47:Y56)</f>
        <v>230</v>
      </c>
      <c r="Z57" s="13" t="n">
        <f aca="false">SUM(Z47:Z56)</f>
        <v>1545</v>
      </c>
    </row>
    <row r="58" customFormat="false" ht="15" hidden="false" customHeight="false" outlineLevel="0" collapsed="false">
      <c r="B58" s="2" t="s">
        <v>206</v>
      </c>
      <c r="D58" s="39" t="n">
        <f aca="false">D56-Assumptions!$C$5</f>
        <v>25</v>
      </c>
      <c r="E58" s="39" t="n">
        <f aca="false">E56-D56</f>
        <v>3.75</v>
      </c>
      <c r="F58" s="39" t="n">
        <f aca="false">F56-E56</f>
        <v>1.25</v>
      </c>
      <c r="G58" s="52" t="n">
        <f aca="false">G56-F56</f>
        <v>76.25</v>
      </c>
      <c r="H58" s="39" t="n">
        <f aca="false">H56-G56</f>
        <v>22.5</v>
      </c>
      <c r="I58" s="39" t="n">
        <f aca="false">I56-H56</f>
        <v>11.25</v>
      </c>
      <c r="J58" s="39" t="n">
        <f aca="false">J56-I56</f>
        <v>8.75</v>
      </c>
      <c r="K58" s="39" t="n">
        <f aca="false">K56-J56</f>
        <v>1.25</v>
      </c>
      <c r="L58" s="39" t="n">
        <f aca="false">L56-K56</f>
        <v>0</v>
      </c>
      <c r="O58" s="2" t="s">
        <v>205</v>
      </c>
      <c r="Q58" s="37" t="n">
        <f aca="false">Q57/Q45</f>
        <v>1</v>
      </c>
      <c r="R58" s="37" t="n">
        <f aca="false">R57/R45</f>
        <v>1</v>
      </c>
      <c r="S58" s="37" t="n">
        <f aca="false">S57/S45</f>
        <v>1</v>
      </c>
      <c r="T58" s="51" t="n">
        <f aca="false">T57/T45</f>
        <v>1</v>
      </c>
      <c r="U58" s="37" t="n">
        <f aca="false">U57/U45</f>
        <v>1.84</v>
      </c>
      <c r="V58" s="37" t="n">
        <f aca="false">V57/V45</f>
        <v>1.84</v>
      </c>
      <c r="W58" s="37" t="n">
        <f aca="false">W57/W45</f>
        <v>1.84</v>
      </c>
      <c r="X58" s="37" t="n">
        <f aca="false">X57/X45</f>
        <v>1.84</v>
      </c>
      <c r="Y58" s="37" t="n">
        <f aca="false">Y57/Y45</f>
        <v>1.84</v>
      </c>
    </row>
    <row r="59" customFormat="false" ht="15" hidden="false" customHeight="false" outlineLevel="0" collapsed="false">
      <c r="G59" s="50"/>
      <c r="O59" s="2" t="s">
        <v>206</v>
      </c>
      <c r="Q59" s="39" t="n">
        <f aca="false">Q57-Assumptions!$C$5</f>
        <v>25</v>
      </c>
      <c r="R59" s="39" t="n">
        <f aca="false">R57-Q57</f>
        <v>0</v>
      </c>
      <c r="S59" s="39" t="n">
        <f aca="false">S57-R57</f>
        <v>0</v>
      </c>
      <c r="T59" s="52" t="n">
        <f aca="false">T57-S57</f>
        <v>105</v>
      </c>
      <c r="U59" s="39" t="n">
        <f aca="false">U57-T57</f>
        <v>0</v>
      </c>
      <c r="V59" s="39" t="n">
        <f aca="false">V57-U57</f>
        <v>0</v>
      </c>
      <c r="W59" s="39" t="n">
        <f aca="false">W57-V57</f>
        <v>0</v>
      </c>
      <c r="X59" s="39" t="n">
        <f aca="false">X57-W57</f>
        <v>0</v>
      </c>
      <c r="Y59" s="39" t="n">
        <f aca="false">Y57-X57</f>
        <v>0</v>
      </c>
    </row>
    <row r="60" customFormat="false" ht="15" hidden="false" customHeight="false" outlineLevel="0" collapsed="false">
      <c r="T60" s="50"/>
    </row>
    <row r="63" customFormat="false" ht="15" hidden="false" customHeight="false" outlineLevel="0" collapsed="false">
      <c r="B63" s="3" t="s">
        <v>225</v>
      </c>
    </row>
    <row r="64" customFormat="false" ht="15" hidden="false" customHeight="false" outlineLevel="0" collapsed="false">
      <c r="B64" s="5" t="s">
        <v>180</v>
      </c>
      <c r="C64" s="7" t="s">
        <v>181</v>
      </c>
      <c r="D64" s="7" t="s">
        <v>91</v>
      </c>
      <c r="E64" s="7" t="s">
        <v>92</v>
      </c>
      <c r="F64" s="7" t="s">
        <v>93</v>
      </c>
      <c r="G64" s="7" t="s">
        <v>94</v>
      </c>
      <c r="H64" s="7" t="s">
        <v>95</v>
      </c>
      <c r="I64" s="7" t="s">
        <v>96</v>
      </c>
      <c r="J64" s="7" t="s">
        <v>97</v>
      </c>
      <c r="K64" s="7" t="s">
        <v>98</v>
      </c>
      <c r="L64" s="7" t="s">
        <v>99</v>
      </c>
      <c r="M64" s="7" t="s">
        <v>100</v>
      </c>
      <c r="O64" s="25" t="s">
        <v>182</v>
      </c>
      <c r="P64" s="26" t="s">
        <v>181</v>
      </c>
      <c r="Q64" s="26" t="s">
        <v>91</v>
      </c>
      <c r="R64" s="26" t="s">
        <v>92</v>
      </c>
      <c r="S64" s="26" t="s">
        <v>93</v>
      </c>
      <c r="T64" s="26" t="s">
        <v>94</v>
      </c>
      <c r="U64" s="26" t="s">
        <v>95</v>
      </c>
      <c r="V64" s="26" t="s">
        <v>96</v>
      </c>
      <c r="W64" s="26" t="s">
        <v>97</v>
      </c>
      <c r="X64" s="26" t="s">
        <v>98</v>
      </c>
      <c r="Y64" s="26" t="s">
        <v>99</v>
      </c>
      <c r="Z64" s="26" t="s">
        <v>100</v>
      </c>
    </row>
    <row r="65" customFormat="false" ht="15" hidden="false" customHeight="false" outlineLevel="0" collapsed="false">
      <c r="B65" s="2" t="s">
        <v>183</v>
      </c>
      <c r="D65" s="28" t="n">
        <f aca="false">Assumptions!$C$5*Assumptions!$C$6</f>
        <v>125</v>
      </c>
      <c r="E65" s="28" t="n">
        <f aca="false">Assumptions!$C$5*Assumptions!$C$6</f>
        <v>125</v>
      </c>
      <c r="F65" s="28" t="n">
        <f aca="false">Assumptions!$C$5*Assumptions!$C$6</f>
        <v>125</v>
      </c>
      <c r="G65" s="47" t="n">
        <f aca="false">Assumptions!$C$5*Assumptions!$C$8</f>
        <v>200</v>
      </c>
      <c r="H65" s="28" t="n">
        <f aca="false">Assumptions!$C$5*Assumptions!$C$6</f>
        <v>125</v>
      </c>
      <c r="I65" s="28" t="n">
        <f aca="false">Assumptions!$C$5*Assumptions!$C$6</f>
        <v>125</v>
      </c>
      <c r="J65" s="28" t="n">
        <f aca="false">Assumptions!$C$5*Assumptions!$C$6</f>
        <v>125</v>
      </c>
      <c r="K65" s="28" t="n">
        <f aca="false">Assumptions!$C$5*Assumptions!$C$6</f>
        <v>125</v>
      </c>
      <c r="L65" s="28" t="n">
        <f aca="false">Assumptions!$C$5*Assumptions!$C$6</f>
        <v>125</v>
      </c>
      <c r="O65" s="2" t="s">
        <v>183</v>
      </c>
      <c r="Q65" s="28" t="n">
        <f aca="false">Assumptions!$C$5*Assumptions!$C$6</f>
        <v>125</v>
      </c>
      <c r="R65" s="28" t="n">
        <f aca="false">Assumptions!$C$5*Assumptions!$C$6</f>
        <v>125</v>
      </c>
      <c r="S65" s="28" t="n">
        <f aca="false">Assumptions!$C$5*Assumptions!$C$6</f>
        <v>125</v>
      </c>
      <c r="T65" s="47" t="n">
        <f aca="false">Assumptions!$C$10</f>
        <v>230</v>
      </c>
      <c r="U65" s="28" t="n">
        <f aca="false">Assumptions!$C$5*Assumptions!$C$6</f>
        <v>125</v>
      </c>
      <c r="V65" s="28" t="n">
        <f aca="false">Assumptions!$C$5*Assumptions!$C$6</f>
        <v>125</v>
      </c>
      <c r="W65" s="28" t="n">
        <f aca="false">Assumptions!$C$5*Assumptions!$C$6</f>
        <v>125</v>
      </c>
      <c r="X65" s="28" t="n">
        <f aca="false">Assumptions!$C$5*Assumptions!$C$6</f>
        <v>125</v>
      </c>
      <c r="Y65" s="28" t="n">
        <f aca="false">Assumptions!$C$5*Assumptions!$C$6</f>
        <v>125</v>
      </c>
    </row>
    <row r="66" customFormat="false" ht="15" hidden="false" customHeight="false" outlineLevel="0" collapsed="false">
      <c r="B66" s="4" t="s">
        <v>184</v>
      </c>
      <c r="D66" s="30" t="n">
        <v>100</v>
      </c>
      <c r="E66" s="30" t="n">
        <v>100</v>
      </c>
      <c r="F66" s="30" t="n">
        <v>100</v>
      </c>
      <c r="G66" s="48" t="n">
        <v>50</v>
      </c>
      <c r="H66" s="30" t="n">
        <v>0</v>
      </c>
      <c r="I66" s="30" t="n">
        <v>0</v>
      </c>
      <c r="J66" s="30" t="n">
        <v>0</v>
      </c>
      <c r="K66" s="30" t="n">
        <v>0</v>
      </c>
      <c r="L66" s="30" t="n">
        <v>0</v>
      </c>
      <c r="O66" s="4" t="s">
        <v>184</v>
      </c>
      <c r="Q66" s="30" t="n">
        <v>100</v>
      </c>
      <c r="R66" s="30" t="n">
        <v>100</v>
      </c>
      <c r="S66" s="30" t="n">
        <v>100</v>
      </c>
      <c r="T66" s="48" t="n">
        <v>50</v>
      </c>
      <c r="U66" s="30" t="n">
        <v>0</v>
      </c>
      <c r="V66" s="30" t="n">
        <v>0</v>
      </c>
      <c r="W66" s="30" t="n">
        <v>0</v>
      </c>
      <c r="X66" s="30" t="n">
        <v>0</v>
      </c>
      <c r="Y66" s="30" t="n">
        <v>0</v>
      </c>
    </row>
    <row r="67" customFormat="false" ht="15" hidden="false" customHeight="false" outlineLevel="0" collapsed="false">
      <c r="B67" s="4" t="s">
        <v>208</v>
      </c>
      <c r="C67" s="31" t="n">
        <f aca="false">MAX(Assumptions!$C$5*Assumptions!$C$12,D65-(D66))</f>
        <v>25</v>
      </c>
      <c r="D67" s="33" t="n">
        <f aca="false">$C67*Assumptions!$C$23</f>
        <v>25</v>
      </c>
      <c r="E67" s="33" t="n">
        <f aca="false">$C67*Assumptions!$D$23</f>
        <v>3.75</v>
      </c>
      <c r="F67" s="33" t="n">
        <f aca="false">$C67*Assumptions!$E$23</f>
        <v>1.25</v>
      </c>
      <c r="G67" s="49" t="n">
        <f aca="false">$C67*Assumptions!$F$23</f>
        <v>1.25</v>
      </c>
      <c r="M67" s="33" t="n">
        <f aca="false">$C67*Assumptions!$G$23</f>
        <v>31.25</v>
      </c>
      <c r="O67" s="4" t="s">
        <v>209</v>
      </c>
      <c r="P67" s="31" t="n">
        <f aca="false">MAX(Assumptions!$C$5*Assumptions!$C$12,Q65-(Q66))</f>
        <v>25</v>
      </c>
      <c r="Q67" s="33" t="n">
        <f aca="false">$P67*Assumptions!$C$21</f>
        <v>25</v>
      </c>
      <c r="R67" s="33" t="n">
        <f aca="false">$P67*Assumptions!$D$21</f>
        <v>0</v>
      </c>
      <c r="S67" s="33" t="n">
        <f aca="false">$P67*Assumptions!$E$21</f>
        <v>0</v>
      </c>
      <c r="T67" s="49" t="n">
        <f aca="false">$P67*Assumptions!$F$21</f>
        <v>0</v>
      </c>
      <c r="Z67" s="33" t="n">
        <f aca="false">$P67*Assumptions!$G$21</f>
        <v>25</v>
      </c>
    </row>
    <row r="68" customFormat="false" ht="15" hidden="false" customHeight="false" outlineLevel="0" collapsed="false">
      <c r="B68" s="4" t="s">
        <v>210</v>
      </c>
      <c r="C68" s="31" t="n">
        <f aca="false">MAX(Assumptions!$C$5*Assumptions!$C$12,E65-(E66))</f>
        <v>25</v>
      </c>
      <c r="E68" s="33" t="n">
        <f aca="false">$C68*Assumptions!$C$23</f>
        <v>25</v>
      </c>
      <c r="F68" s="33" t="n">
        <f aca="false">$C68*Assumptions!$D$23</f>
        <v>3.75</v>
      </c>
      <c r="G68" s="49" t="n">
        <f aca="false">$C68*Assumptions!$E$23</f>
        <v>1.25</v>
      </c>
      <c r="H68" s="33" t="n">
        <f aca="false">$C68*Assumptions!$F$23</f>
        <v>1.25</v>
      </c>
      <c r="M68" s="33" t="n">
        <f aca="false">$C68*Assumptions!$G$23</f>
        <v>31.25</v>
      </c>
      <c r="O68" s="4" t="s">
        <v>211</v>
      </c>
      <c r="P68" s="31" t="n">
        <f aca="false">MAX(Assumptions!$C$5*Assumptions!$C$12,R65-(R66))</f>
        <v>25</v>
      </c>
      <c r="R68" s="33" t="n">
        <f aca="false">$P68*Assumptions!$C$21</f>
        <v>25</v>
      </c>
      <c r="S68" s="33" t="n">
        <f aca="false">$P68*Assumptions!$D$21</f>
        <v>0</v>
      </c>
      <c r="T68" s="49" t="n">
        <f aca="false">$P68*Assumptions!$E$21</f>
        <v>0</v>
      </c>
      <c r="U68" s="33" t="n">
        <f aca="false">$P68*Assumptions!$F$21</f>
        <v>0</v>
      </c>
      <c r="Z68" s="33" t="n">
        <f aca="false">$P68*Assumptions!$G$21</f>
        <v>25</v>
      </c>
    </row>
    <row r="69" customFormat="false" ht="15" hidden="false" customHeight="false" outlineLevel="0" collapsed="false">
      <c r="B69" s="4" t="s">
        <v>212</v>
      </c>
      <c r="C69" s="31" t="n">
        <f aca="false">MAX(Assumptions!$C$5*Assumptions!$C$12,F65-(F66))</f>
        <v>25</v>
      </c>
      <c r="F69" s="33" t="n">
        <f aca="false">$C69*Assumptions!$C$23</f>
        <v>25</v>
      </c>
      <c r="G69" s="49" t="n">
        <f aca="false">$C69*Assumptions!$D$23</f>
        <v>3.75</v>
      </c>
      <c r="H69" s="33" t="n">
        <f aca="false">$C69*Assumptions!$E$23</f>
        <v>1.25</v>
      </c>
      <c r="I69" s="33" t="n">
        <f aca="false">$C69*Assumptions!$F$23</f>
        <v>1.25</v>
      </c>
      <c r="M69" s="33" t="n">
        <f aca="false">$C69*Assumptions!$G$23</f>
        <v>31.25</v>
      </c>
      <c r="O69" s="4" t="s">
        <v>213</v>
      </c>
      <c r="P69" s="31" t="n">
        <f aca="false">MAX(Assumptions!$C$5*Assumptions!$C$12,S65-(S66))</f>
        <v>25</v>
      </c>
      <c r="S69" s="33" t="n">
        <f aca="false">$P69*Assumptions!$C$21</f>
        <v>25</v>
      </c>
      <c r="T69" s="49" t="n">
        <f aca="false">$P69*Assumptions!$D$21</f>
        <v>0</v>
      </c>
      <c r="U69" s="33" t="n">
        <f aca="false">$P69*Assumptions!$E$21</f>
        <v>0</v>
      </c>
      <c r="V69" s="33" t="n">
        <f aca="false">$P69*Assumptions!$F$21</f>
        <v>0</v>
      </c>
      <c r="Z69" s="33" t="n">
        <f aca="false">$P69*Assumptions!$G$21</f>
        <v>25</v>
      </c>
    </row>
    <row r="70" customFormat="false" ht="15" hidden="false" customHeight="false" outlineLevel="0" collapsed="false">
      <c r="B70" s="4" t="s">
        <v>256</v>
      </c>
      <c r="C70" s="31" t="n">
        <f aca="false">MAX(Assumptions!$C$5*Assumptions!$C$12,G65-(G66))</f>
        <v>150</v>
      </c>
      <c r="G70" s="49" t="n">
        <f aca="false">$C70*Assumptions!$C$23</f>
        <v>150</v>
      </c>
      <c r="H70" s="33" t="n">
        <f aca="false">$C70*Assumptions!$D$23</f>
        <v>22.5</v>
      </c>
      <c r="I70" s="33" t="n">
        <f aca="false">$C70*Assumptions!$E$23</f>
        <v>7.5</v>
      </c>
      <c r="J70" s="33" t="n">
        <f aca="false">$C70*Assumptions!$F$23</f>
        <v>7.5</v>
      </c>
      <c r="M70" s="33" t="n">
        <f aca="false">$C70*Assumptions!$G$23</f>
        <v>187.5</v>
      </c>
      <c r="O70" s="4" t="s">
        <v>223</v>
      </c>
      <c r="P70" s="31" t="n">
        <f aca="false">T65-(T66+$P71)</f>
        <v>65</v>
      </c>
      <c r="T70" s="49" t="n">
        <f aca="false">$P70*Assumptions!$C$21</f>
        <v>65</v>
      </c>
      <c r="U70" s="33" t="n">
        <f aca="false">$P70*Assumptions!$D$21</f>
        <v>0</v>
      </c>
      <c r="V70" s="33" t="n">
        <f aca="false">$P70*Assumptions!$E$21</f>
        <v>0</v>
      </c>
      <c r="W70" s="33" t="n">
        <f aca="false">$P70*Assumptions!$F$21</f>
        <v>0</v>
      </c>
      <c r="Z70" s="33" t="n">
        <f aca="false">$P70*Assumptions!$G$21</f>
        <v>65</v>
      </c>
    </row>
    <row r="71" customFormat="false" ht="15" hidden="false" customHeight="false" outlineLevel="0" collapsed="false">
      <c r="B71" s="4" t="s">
        <v>246</v>
      </c>
      <c r="C71" s="31" t="n">
        <f aca="false">Assumptions!$C$5*Assumptions!$C$8</f>
        <v>200</v>
      </c>
      <c r="G71" s="50"/>
      <c r="H71" s="33" t="n">
        <f aca="false">$C71*Assumptions!$C$17</f>
        <v>200</v>
      </c>
      <c r="I71" s="33" t="n">
        <f aca="false">$C71*Assumptions!$D$17</f>
        <v>30</v>
      </c>
      <c r="J71" s="33" t="n">
        <f aca="false">$C71*Assumptions!$E$17</f>
        <v>10</v>
      </c>
      <c r="K71" s="33" t="n">
        <f aca="false">$C71*Assumptions!$F$17</f>
        <v>10</v>
      </c>
      <c r="M71" s="33" t="n">
        <f aca="false">$C71*Assumptions!$G$17</f>
        <v>250</v>
      </c>
      <c r="O71" s="4" t="s">
        <v>224</v>
      </c>
      <c r="P71" s="31" t="n">
        <f aca="false">Assumptions!$C$11*Assumptions!$C$10</f>
        <v>115</v>
      </c>
      <c r="T71" s="49" t="n">
        <f aca="false">$P71*Assumptions!$C$18</f>
        <v>115</v>
      </c>
      <c r="U71" s="33" t="n">
        <f aca="false">$P71*Assumptions!$D$18</f>
        <v>115</v>
      </c>
      <c r="V71" s="33" t="n">
        <f aca="false">$P71*Assumptions!$E$18</f>
        <v>0</v>
      </c>
      <c r="W71" s="33" t="n">
        <f aca="false">$P71*Assumptions!$F$18</f>
        <v>0</v>
      </c>
      <c r="Z71" s="33" t="n">
        <f aca="false">$P71*Assumptions!$G$18</f>
        <v>230</v>
      </c>
    </row>
    <row r="72" customFormat="false" ht="15" hidden="false" customHeight="false" outlineLevel="0" collapsed="false">
      <c r="B72" s="4" t="s">
        <v>248</v>
      </c>
      <c r="C72" s="31" t="n">
        <f aca="false">Assumptions!$C$5*Assumptions!$C$8</f>
        <v>200</v>
      </c>
      <c r="G72" s="50"/>
      <c r="I72" s="33" t="n">
        <f aca="false">$C72*Assumptions!$C$17</f>
        <v>200</v>
      </c>
      <c r="J72" s="33" t="n">
        <f aca="false">$C72*Assumptions!$D$17</f>
        <v>30</v>
      </c>
      <c r="K72" s="33" t="n">
        <f aca="false">$C72*Assumptions!$E$17</f>
        <v>10</v>
      </c>
      <c r="L72" s="33" t="n">
        <f aca="false">$C72*Assumptions!$F$17</f>
        <v>10</v>
      </c>
      <c r="M72" s="33" t="n">
        <f aca="false">$C72*Assumptions!$G$17</f>
        <v>250</v>
      </c>
      <c r="O72" s="4" t="s">
        <v>247</v>
      </c>
      <c r="P72" s="31" t="n">
        <f aca="false">Assumptions!$C$11*Assumptions!$C$10</f>
        <v>115</v>
      </c>
      <c r="T72" s="50"/>
      <c r="U72" s="33" t="n">
        <f aca="false">$P72*Assumptions!$C$18</f>
        <v>115</v>
      </c>
      <c r="V72" s="33" t="n">
        <f aca="false">$P72*Assumptions!$D$18</f>
        <v>115</v>
      </c>
      <c r="W72" s="33" t="n">
        <f aca="false">$P72*Assumptions!$E$18</f>
        <v>0</v>
      </c>
      <c r="X72" s="33" t="n">
        <f aca="false">$P72*Assumptions!$F$18</f>
        <v>0</v>
      </c>
      <c r="Z72" s="33" t="n">
        <f aca="false">$P72*Assumptions!$G$18</f>
        <v>230</v>
      </c>
    </row>
    <row r="73" customFormat="false" ht="15" hidden="false" customHeight="false" outlineLevel="0" collapsed="false">
      <c r="B73" s="4" t="s">
        <v>250</v>
      </c>
      <c r="C73" s="31" t="n">
        <f aca="false">Assumptions!$C$5*Assumptions!$C$8</f>
        <v>200</v>
      </c>
      <c r="G73" s="50"/>
      <c r="J73" s="33" t="n">
        <f aca="false">$C73*Assumptions!$C$17</f>
        <v>200</v>
      </c>
      <c r="K73" s="33" t="n">
        <f aca="false">$C73*Assumptions!$D$17</f>
        <v>30</v>
      </c>
      <c r="L73" s="33" t="n">
        <f aca="false">$C73*Assumptions!$E$17</f>
        <v>10</v>
      </c>
      <c r="M73" s="33" t="n">
        <f aca="false">$C73*Assumptions!$G$17</f>
        <v>250</v>
      </c>
      <c r="O73" s="4" t="s">
        <v>249</v>
      </c>
      <c r="P73" s="31" t="n">
        <f aca="false">Assumptions!$C$11*Assumptions!$C$10</f>
        <v>115</v>
      </c>
      <c r="T73" s="50"/>
      <c r="V73" s="33" t="n">
        <f aca="false">$P73*Assumptions!$C$18</f>
        <v>115</v>
      </c>
      <c r="W73" s="33" t="n">
        <f aca="false">$P73*Assumptions!$D$18</f>
        <v>115</v>
      </c>
      <c r="X73" s="33" t="n">
        <f aca="false">$P73*Assumptions!$E$18</f>
        <v>0</v>
      </c>
      <c r="Y73" s="33" t="n">
        <f aca="false">$P73*Assumptions!$F$18</f>
        <v>0</v>
      </c>
      <c r="Z73" s="33" t="n">
        <f aca="false">$P73*Assumptions!$G$18</f>
        <v>230</v>
      </c>
    </row>
    <row r="74" customFormat="false" ht="15" hidden="false" customHeight="false" outlineLevel="0" collapsed="false">
      <c r="B74" s="4" t="s">
        <v>252</v>
      </c>
      <c r="C74" s="31" t="n">
        <f aca="false">Assumptions!$C$5*Assumptions!$C$8</f>
        <v>200</v>
      </c>
      <c r="G74" s="50"/>
      <c r="K74" s="33" t="n">
        <f aca="false">$C74*Assumptions!$C$17</f>
        <v>200</v>
      </c>
      <c r="L74" s="33" t="n">
        <f aca="false">$C74*Assumptions!$D$17</f>
        <v>30</v>
      </c>
      <c r="M74" s="33" t="n">
        <f aca="false">$C74*Assumptions!$G$17</f>
        <v>250</v>
      </c>
      <c r="O74" s="4" t="s">
        <v>251</v>
      </c>
      <c r="P74" s="31" t="n">
        <f aca="false">Assumptions!$C$11*Assumptions!$C$10</f>
        <v>115</v>
      </c>
      <c r="T74" s="50"/>
      <c r="W74" s="33" t="n">
        <f aca="false">$P74*Assumptions!$C$18</f>
        <v>115</v>
      </c>
      <c r="X74" s="33" t="n">
        <f aca="false">$P74*Assumptions!$D$18</f>
        <v>115</v>
      </c>
      <c r="Y74" s="33" t="n">
        <f aca="false">$P74*Assumptions!$E$18</f>
        <v>0</v>
      </c>
      <c r="Z74" s="33" t="n">
        <f aca="false">$P74*Assumptions!$G$18</f>
        <v>230</v>
      </c>
    </row>
    <row r="75" customFormat="false" ht="15" hidden="false" customHeight="false" outlineLevel="0" collapsed="false">
      <c r="B75" s="4" t="s">
        <v>254</v>
      </c>
      <c r="C75" s="31" t="n">
        <f aca="false">Assumptions!$C$5*Assumptions!$C$8</f>
        <v>200</v>
      </c>
      <c r="G75" s="50"/>
      <c r="L75" s="33" t="n">
        <f aca="false">$C75*Assumptions!$C$17</f>
        <v>200</v>
      </c>
      <c r="M75" s="33" t="n">
        <f aca="false">$C75*Assumptions!$G$17</f>
        <v>250</v>
      </c>
      <c r="O75" s="4" t="s">
        <v>253</v>
      </c>
      <c r="P75" s="31" t="n">
        <f aca="false">Assumptions!$C$11*Assumptions!$C$10</f>
        <v>115</v>
      </c>
      <c r="T75" s="50"/>
      <c r="X75" s="33" t="n">
        <f aca="false">$P75*Assumptions!$C$18</f>
        <v>115</v>
      </c>
      <c r="Y75" s="33" t="n">
        <f aca="false">$P75*Assumptions!$D$18</f>
        <v>115</v>
      </c>
      <c r="Z75" s="33" t="n">
        <f aca="false">$P75*Assumptions!$G$18</f>
        <v>230</v>
      </c>
    </row>
    <row r="76" customFormat="false" ht="15" hidden="false" customHeight="false" outlineLevel="0" collapsed="false">
      <c r="B76" s="8" t="s">
        <v>203</v>
      </c>
      <c r="C76" s="8" t="s">
        <v>204</v>
      </c>
      <c r="D76" s="13" t="n">
        <f aca="false">D66+SUM(D67:D75)</f>
        <v>125</v>
      </c>
      <c r="E76" s="13" t="n">
        <f aca="false">E66+SUM(E67:E75)</f>
        <v>128.75</v>
      </c>
      <c r="F76" s="13" t="n">
        <f aca="false">F66+SUM(F67:F75)</f>
        <v>130</v>
      </c>
      <c r="G76" s="48" t="n">
        <f aca="false">G66+SUM(G67:G75)</f>
        <v>206.25</v>
      </c>
      <c r="H76" s="13" t="n">
        <f aca="false">H66+SUM(H67:H75)</f>
        <v>225</v>
      </c>
      <c r="I76" s="13" t="n">
        <f aca="false">I66+SUM(I67:I75)</f>
        <v>238.75</v>
      </c>
      <c r="J76" s="13" t="n">
        <f aca="false">J66+SUM(J67:J75)</f>
        <v>247.5</v>
      </c>
      <c r="K76" s="13" t="n">
        <f aca="false">K66+SUM(K67:K75)</f>
        <v>250</v>
      </c>
      <c r="L76" s="13" t="n">
        <f aca="false">L66+SUM(L67:L75)</f>
        <v>250</v>
      </c>
      <c r="M76" s="13" t="n">
        <f aca="false">SUM(M67:M75)</f>
        <v>1531.25</v>
      </c>
      <c r="O76" s="4" t="s">
        <v>255</v>
      </c>
      <c r="P76" s="31" t="n">
        <f aca="false">Assumptions!$C$11*Assumptions!$C$10</f>
        <v>115</v>
      </c>
      <c r="T76" s="50"/>
      <c r="Y76" s="33" t="n">
        <f aca="false">$P76*Assumptions!$C$18</f>
        <v>115</v>
      </c>
      <c r="Z76" s="33" t="n">
        <f aca="false">$P76*Assumptions!$G$18</f>
        <v>230</v>
      </c>
    </row>
    <row r="77" customFormat="false" ht="15" hidden="false" customHeight="false" outlineLevel="0" collapsed="false">
      <c r="B77" s="2" t="s">
        <v>205</v>
      </c>
      <c r="D77" s="37" t="n">
        <f aca="false">D76/D65</f>
        <v>1</v>
      </c>
      <c r="E77" s="37" t="n">
        <f aca="false">E76/E65</f>
        <v>1.03</v>
      </c>
      <c r="F77" s="37" t="n">
        <f aca="false">F76/F65</f>
        <v>1.04</v>
      </c>
      <c r="G77" s="51" t="n">
        <f aca="false">G76/G65</f>
        <v>1.03125</v>
      </c>
      <c r="H77" s="37" t="n">
        <f aca="false">H76/H65</f>
        <v>1.8</v>
      </c>
      <c r="I77" s="37" t="n">
        <f aca="false">I76/I65</f>
        <v>1.91</v>
      </c>
      <c r="J77" s="37" t="n">
        <f aca="false">J76/J65</f>
        <v>1.98</v>
      </c>
      <c r="K77" s="37" t="n">
        <f aca="false">K76/K65</f>
        <v>2</v>
      </c>
      <c r="L77" s="37" t="n">
        <f aca="false">L76/L65</f>
        <v>2</v>
      </c>
      <c r="O77" s="8" t="s">
        <v>203</v>
      </c>
      <c r="P77" s="8" t="s">
        <v>204</v>
      </c>
      <c r="Q77" s="13" t="n">
        <f aca="false">Q66+SUM(Q67:Q76)</f>
        <v>125</v>
      </c>
      <c r="R77" s="13" t="n">
        <f aca="false">R66+SUM(R67:R76)</f>
        <v>125</v>
      </c>
      <c r="S77" s="13" t="n">
        <f aca="false">S66+SUM(S67:S76)</f>
        <v>125</v>
      </c>
      <c r="T77" s="48" t="n">
        <f aca="false">T66+SUM(T67:T76)</f>
        <v>230</v>
      </c>
      <c r="U77" s="13" t="n">
        <f aca="false">U66+SUM(U67:U76)</f>
        <v>230</v>
      </c>
      <c r="V77" s="13" t="n">
        <f aca="false">V66+SUM(V67:V76)</f>
        <v>230</v>
      </c>
      <c r="W77" s="13" t="n">
        <f aca="false">W66+SUM(W67:W76)</f>
        <v>230</v>
      </c>
      <c r="X77" s="13" t="n">
        <f aca="false">X66+SUM(X67:X76)</f>
        <v>230</v>
      </c>
      <c r="Y77" s="13" t="n">
        <f aca="false">Y66+SUM(Y67:Y76)</f>
        <v>230</v>
      </c>
      <c r="Z77" s="13" t="n">
        <f aca="false">SUM(Z67:Z76)</f>
        <v>1520</v>
      </c>
    </row>
    <row r="78" customFormat="false" ht="15" hidden="false" customHeight="false" outlineLevel="0" collapsed="false">
      <c r="B78" s="2" t="s">
        <v>206</v>
      </c>
      <c r="D78" s="39" t="n">
        <f aca="false">D76-Assumptions!$C$5</f>
        <v>25</v>
      </c>
      <c r="E78" s="39" t="n">
        <f aca="false">E76-D76</f>
        <v>3.75</v>
      </c>
      <c r="F78" s="39" t="n">
        <f aca="false">F76-E76</f>
        <v>1.25</v>
      </c>
      <c r="G78" s="52" t="n">
        <f aca="false">G76-F76</f>
        <v>76.25</v>
      </c>
      <c r="H78" s="39" t="n">
        <f aca="false">H76-G76</f>
        <v>18.75</v>
      </c>
      <c r="I78" s="39" t="n">
        <f aca="false">I76-H76</f>
        <v>13.75</v>
      </c>
      <c r="J78" s="39" t="n">
        <f aca="false">J76-I76</f>
        <v>8.75</v>
      </c>
      <c r="K78" s="39" t="n">
        <f aca="false">K76-J76</f>
        <v>2.5</v>
      </c>
      <c r="L78" s="39" t="n">
        <f aca="false">L76-K76</f>
        <v>0</v>
      </c>
      <c r="O78" s="2" t="s">
        <v>205</v>
      </c>
      <c r="Q78" s="37" t="n">
        <f aca="false">Q77/Q65</f>
        <v>1</v>
      </c>
      <c r="R78" s="37" t="n">
        <f aca="false">R77/R65</f>
        <v>1</v>
      </c>
      <c r="S78" s="37" t="n">
        <f aca="false">S77/S65</f>
        <v>1</v>
      </c>
      <c r="T78" s="51" t="n">
        <f aca="false">T77/T65</f>
        <v>1</v>
      </c>
      <c r="U78" s="37" t="n">
        <f aca="false">U77/U65</f>
        <v>1.84</v>
      </c>
      <c r="V78" s="37" t="n">
        <f aca="false">V77/V65</f>
        <v>1.84</v>
      </c>
      <c r="W78" s="37" t="n">
        <f aca="false">W77/W65</f>
        <v>1.84</v>
      </c>
      <c r="X78" s="37" t="n">
        <f aca="false">X77/X65</f>
        <v>1.84</v>
      </c>
      <c r="Y78" s="37" t="n">
        <f aca="false">Y77/Y65</f>
        <v>1.84</v>
      </c>
    </row>
    <row r="79" customFormat="false" ht="15" hidden="false" customHeight="false" outlineLevel="0" collapsed="false">
      <c r="G79" s="50"/>
      <c r="O79" s="2" t="s">
        <v>206</v>
      </c>
      <c r="Q79" s="39" t="n">
        <f aca="false">Q77-Assumptions!$C$5</f>
        <v>25</v>
      </c>
      <c r="R79" s="39" t="n">
        <f aca="false">R77-Q77</f>
        <v>0</v>
      </c>
      <c r="S79" s="39" t="n">
        <f aca="false">S77-R77</f>
        <v>0</v>
      </c>
      <c r="T79" s="52" t="n">
        <f aca="false">T77-S77</f>
        <v>105</v>
      </c>
      <c r="U79" s="39" t="n">
        <f aca="false">U77-T77</f>
        <v>0</v>
      </c>
      <c r="V79" s="39" t="n">
        <f aca="false">V77-U77</f>
        <v>0</v>
      </c>
      <c r="W79" s="39" t="n">
        <f aca="false">W77-V77</f>
        <v>0</v>
      </c>
      <c r="X79" s="39" t="n">
        <f aca="false">X77-W77</f>
        <v>0</v>
      </c>
      <c r="Y79" s="39" t="n">
        <f aca="false">Y77-X77</f>
        <v>0</v>
      </c>
    </row>
    <row r="80" customFormat="false" ht="15" hidden="false" customHeight="false" outlineLevel="0" collapsed="false">
      <c r="T80" s="50"/>
    </row>
    <row r="83" customFormat="false" ht="15" hidden="false" customHeight="false" outlineLevel="0" collapsed="false">
      <c r="B83" s="3" t="s">
        <v>227</v>
      </c>
    </row>
    <row r="84" customFormat="false" ht="15" hidden="false" customHeight="false" outlineLevel="0" collapsed="false">
      <c r="B84" s="5" t="s">
        <v>180</v>
      </c>
      <c r="C84" s="7" t="s">
        <v>181</v>
      </c>
      <c r="D84" s="7" t="s">
        <v>91</v>
      </c>
      <c r="E84" s="7" t="s">
        <v>92</v>
      </c>
      <c r="F84" s="7" t="s">
        <v>93</v>
      </c>
      <c r="G84" s="7" t="s">
        <v>94</v>
      </c>
      <c r="H84" s="7" t="s">
        <v>95</v>
      </c>
      <c r="I84" s="7" t="s">
        <v>96</v>
      </c>
      <c r="J84" s="7" t="s">
        <v>97</v>
      </c>
      <c r="K84" s="7" t="s">
        <v>98</v>
      </c>
      <c r="L84" s="7" t="s">
        <v>99</v>
      </c>
      <c r="M84" s="7" t="s">
        <v>100</v>
      </c>
      <c r="O84" s="25" t="s">
        <v>182</v>
      </c>
      <c r="P84" s="26" t="s">
        <v>181</v>
      </c>
      <c r="Q84" s="26" t="s">
        <v>91</v>
      </c>
      <c r="R84" s="26" t="s">
        <v>92</v>
      </c>
      <c r="S84" s="26" t="s">
        <v>93</v>
      </c>
      <c r="T84" s="26" t="s">
        <v>94</v>
      </c>
      <c r="U84" s="26" t="s">
        <v>95</v>
      </c>
      <c r="V84" s="26" t="s">
        <v>96</v>
      </c>
      <c r="W84" s="26" t="s">
        <v>97</v>
      </c>
      <c r="X84" s="26" t="s">
        <v>98</v>
      </c>
      <c r="Y84" s="26" t="s">
        <v>99</v>
      </c>
      <c r="Z84" s="26" t="s">
        <v>100</v>
      </c>
    </row>
    <row r="85" customFormat="false" ht="15" hidden="false" customHeight="false" outlineLevel="0" collapsed="false">
      <c r="B85" s="2" t="s">
        <v>183</v>
      </c>
      <c r="D85" s="28" t="n">
        <f aca="false">Assumptions!$C$5*Assumptions!$C$6</f>
        <v>125</v>
      </c>
      <c r="E85" s="28" t="n">
        <f aca="false">Assumptions!$C$5*Assumptions!$C$6</f>
        <v>125</v>
      </c>
      <c r="F85" s="28" t="n">
        <f aca="false">Assumptions!$C$5*Assumptions!$C$6</f>
        <v>125</v>
      </c>
      <c r="G85" s="47" t="n">
        <f aca="false">Assumptions!$C$5*Assumptions!$C$8</f>
        <v>200</v>
      </c>
      <c r="H85" s="28" t="n">
        <f aca="false">Assumptions!$C$5*Assumptions!$C$6</f>
        <v>125</v>
      </c>
      <c r="I85" s="28" t="n">
        <f aca="false">Assumptions!$C$5*Assumptions!$C$6</f>
        <v>125</v>
      </c>
      <c r="J85" s="28" t="n">
        <f aca="false">Assumptions!$C$5*Assumptions!$C$6</f>
        <v>125</v>
      </c>
      <c r="K85" s="28" t="n">
        <f aca="false">Assumptions!$C$5*Assumptions!$C$6</f>
        <v>125</v>
      </c>
      <c r="L85" s="28" t="n">
        <f aca="false">Assumptions!$C$5*Assumptions!$C$6</f>
        <v>125</v>
      </c>
      <c r="O85" s="2" t="s">
        <v>183</v>
      </c>
      <c r="Q85" s="28" t="n">
        <f aca="false">Assumptions!$C$5*Assumptions!$C$6</f>
        <v>125</v>
      </c>
      <c r="R85" s="28" t="n">
        <f aca="false">Assumptions!$C$5*Assumptions!$C$6</f>
        <v>125</v>
      </c>
      <c r="S85" s="28" t="n">
        <f aca="false">Assumptions!$C$5*Assumptions!$C$6</f>
        <v>125</v>
      </c>
      <c r="T85" s="47" t="n">
        <f aca="false">Assumptions!$C$10</f>
        <v>230</v>
      </c>
      <c r="U85" s="28" t="n">
        <f aca="false">Assumptions!$C$5*Assumptions!$C$6</f>
        <v>125</v>
      </c>
      <c r="V85" s="28" t="n">
        <f aca="false">Assumptions!$C$5*Assumptions!$C$6</f>
        <v>125</v>
      </c>
      <c r="W85" s="28" t="n">
        <f aca="false">Assumptions!$C$5*Assumptions!$C$6</f>
        <v>125</v>
      </c>
      <c r="X85" s="28" t="n">
        <f aca="false">Assumptions!$C$5*Assumptions!$C$6</f>
        <v>125</v>
      </c>
      <c r="Y85" s="28" t="n">
        <f aca="false">Assumptions!$C$5*Assumptions!$C$6</f>
        <v>125</v>
      </c>
    </row>
    <row r="86" customFormat="false" ht="15" hidden="false" customHeight="false" outlineLevel="0" collapsed="false">
      <c r="B86" s="4" t="s">
        <v>184</v>
      </c>
      <c r="D86" s="30" t="n">
        <v>100</v>
      </c>
      <c r="E86" s="30" t="n">
        <v>100</v>
      </c>
      <c r="F86" s="30" t="n">
        <v>100</v>
      </c>
      <c r="G86" s="48" t="n">
        <v>75</v>
      </c>
      <c r="H86" s="30" t="n">
        <v>0</v>
      </c>
      <c r="I86" s="30" t="n">
        <v>0</v>
      </c>
      <c r="J86" s="30" t="n">
        <v>0</v>
      </c>
      <c r="K86" s="30" t="n">
        <v>0</v>
      </c>
      <c r="L86" s="30" t="n">
        <v>0</v>
      </c>
      <c r="O86" s="4" t="s">
        <v>184</v>
      </c>
      <c r="Q86" s="30" t="n">
        <v>100</v>
      </c>
      <c r="R86" s="30" t="n">
        <v>100</v>
      </c>
      <c r="S86" s="30" t="n">
        <v>100</v>
      </c>
      <c r="T86" s="48" t="n">
        <v>75</v>
      </c>
      <c r="U86" s="30" t="n">
        <v>0</v>
      </c>
      <c r="V86" s="30" t="n">
        <v>0</v>
      </c>
      <c r="W86" s="30" t="n">
        <v>0</v>
      </c>
      <c r="X86" s="30" t="n">
        <v>0</v>
      </c>
      <c r="Y86" s="30" t="n">
        <v>0</v>
      </c>
    </row>
    <row r="87" customFormat="false" ht="15" hidden="false" customHeight="false" outlineLevel="0" collapsed="false">
      <c r="B87" s="4" t="s">
        <v>208</v>
      </c>
      <c r="C87" s="31" t="n">
        <f aca="false">MAX(Assumptions!$C$5*Assumptions!$C$12,D85-(D86))</f>
        <v>25</v>
      </c>
      <c r="D87" s="33" t="n">
        <f aca="false">$C87*Assumptions!$C$23</f>
        <v>25</v>
      </c>
      <c r="E87" s="33" t="n">
        <f aca="false">$C87*Assumptions!$D$23</f>
        <v>3.75</v>
      </c>
      <c r="F87" s="33" t="n">
        <f aca="false">$C87*Assumptions!$E$23</f>
        <v>1.25</v>
      </c>
      <c r="G87" s="49" t="n">
        <f aca="false">$C87*Assumptions!$F$23</f>
        <v>1.25</v>
      </c>
      <c r="M87" s="33" t="n">
        <f aca="false">$C87*Assumptions!$G$23</f>
        <v>31.25</v>
      </c>
      <c r="O87" s="4" t="s">
        <v>209</v>
      </c>
      <c r="P87" s="31" t="n">
        <f aca="false">MAX(Assumptions!$C$5*Assumptions!$C$12,Q85-(Q86))</f>
        <v>25</v>
      </c>
      <c r="Q87" s="33" t="n">
        <f aca="false">$P87*Assumptions!$C$21</f>
        <v>25</v>
      </c>
      <c r="R87" s="33" t="n">
        <f aca="false">$P87*Assumptions!$D$21</f>
        <v>0</v>
      </c>
      <c r="S87" s="33" t="n">
        <f aca="false">$P87*Assumptions!$E$21</f>
        <v>0</v>
      </c>
      <c r="T87" s="49" t="n">
        <f aca="false">$P87*Assumptions!$F$21</f>
        <v>0</v>
      </c>
      <c r="Z87" s="33" t="n">
        <f aca="false">$P87*Assumptions!$G$21</f>
        <v>25</v>
      </c>
    </row>
    <row r="88" customFormat="false" ht="15" hidden="false" customHeight="false" outlineLevel="0" collapsed="false">
      <c r="B88" s="4" t="s">
        <v>210</v>
      </c>
      <c r="C88" s="31" t="n">
        <f aca="false">MAX(Assumptions!$C$5*Assumptions!$C$12,E85-(E86))</f>
        <v>25</v>
      </c>
      <c r="E88" s="33" t="n">
        <f aca="false">$C88*Assumptions!$C$23</f>
        <v>25</v>
      </c>
      <c r="F88" s="33" t="n">
        <f aca="false">$C88*Assumptions!$D$23</f>
        <v>3.75</v>
      </c>
      <c r="G88" s="49" t="n">
        <f aca="false">$C88*Assumptions!$E$23</f>
        <v>1.25</v>
      </c>
      <c r="H88" s="33" t="n">
        <f aca="false">$C88*Assumptions!$F$23</f>
        <v>1.25</v>
      </c>
      <c r="M88" s="33" t="n">
        <f aca="false">$C88*Assumptions!$G$23</f>
        <v>31.25</v>
      </c>
      <c r="O88" s="4" t="s">
        <v>211</v>
      </c>
      <c r="P88" s="31" t="n">
        <f aca="false">MAX(Assumptions!$C$5*Assumptions!$C$12,R85-(R86))</f>
        <v>25</v>
      </c>
      <c r="R88" s="33" t="n">
        <f aca="false">$P88*Assumptions!$C$21</f>
        <v>25</v>
      </c>
      <c r="S88" s="33" t="n">
        <f aca="false">$P88*Assumptions!$D$21</f>
        <v>0</v>
      </c>
      <c r="T88" s="49" t="n">
        <f aca="false">$P88*Assumptions!$E$21</f>
        <v>0</v>
      </c>
      <c r="U88" s="33" t="n">
        <f aca="false">$P88*Assumptions!$F$21</f>
        <v>0</v>
      </c>
      <c r="Z88" s="33" t="n">
        <f aca="false">$P88*Assumptions!$G$21</f>
        <v>25</v>
      </c>
    </row>
    <row r="89" customFormat="false" ht="15" hidden="false" customHeight="false" outlineLevel="0" collapsed="false">
      <c r="B89" s="4" t="s">
        <v>212</v>
      </c>
      <c r="C89" s="31" t="n">
        <f aca="false">MAX(Assumptions!$C$5*Assumptions!$C$12,F85-(F86))</f>
        <v>25</v>
      </c>
      <c r="F89" s="33" t="n">
        <f aca="false">$C89*Assumptions!$C$23</f>
        <v>25</v>
      </c>
      <c r="G89" s="49" t="n">
        <f aca="false">$C89*Assumptions!$D$23</f>
        <v>3.75</v>
      </c>
      <c r="H89" s="33" t="n">
        <f aca="false">$C89*Assumptions!$E$23</f>
        <v>1.25</v>
      </c>
      <c r="I89" s="33" t="n">
        <f aca="false">$C89*Assumptions!$F$23</f>
        <v>1.25</v>
      </c>
      <c r="M89" s="33" t="n">
        <f aca="false">$C89*Assumptions!$G$23</f>
        <v>31.25</v>
      </c>
      <c r="O89" s="4" t="s">
        <v>213</v>
      </c>
      <c r="P89" s="31" t="n">
        <f aca="false">MAX(Assumptions!$C$5*Assumptions!$C$12,S85-(S86))</f>
        <v>25</v>
      </c>
      <c r="S89" s="33" t="n">
        <f aca="false">$P89*Assumptions!$C$21</f>
        <v>25</v>
      </c>
      <c r="T89" s="49" t="n">
        <f aca="false">$P89*Assumptions!$D$21</f>
        <v>0</v>
      </c>
      <c r="U89" s="33" t="n">
        <f aca="false">$P89*Assumptions!$E$21</f>
        <v>0</v>
      </c>
      <c r="V89" s="33" t="n">
        <f aca="false">$P89*Assumptions!$F$21</f>
        <v>0</v>
      </c>
      <c r="Z89" s="33" t="n">
        <f aca="false">$P89*Assumptions!$G$21</f>
        <v>25</v>
      </c>
    </row>
    <row r="90" customFormat="false" ht="15" hidden="false" customHeight="false" outlineLevel="0" collapsed="false">
      <c r="B90" s="4" t="s">
        <v>256</v>
      </c>
      <c r="C90" s="31" t="n">
        <f aca="false">MAX(Assumptions!$C$5*Assumptions!$C$12,G85-(G86))</f>
        <v>125</v>
      </c>
      <c r="G90" s="49" t="n">
        <f aca="false">$C90*Assumptions!$C$23</f>
        <v>125</v>
      </c>
      <c r="H90" s="33" t="n">
        <f aca="false">$C90*Assumptions!$D$23</f>
        <v>18.75</v>
      </c>
      <c r="I90" s="33" t="n">
        <f aca="false">$C90*Assumptions!$E$23</f>
        <v>6.25</v>
      </c>
      <c r="J90" s="33" t="n">
        <f aca="false">$C90*Assumptions!$F$23</f>
        <v>6.25</v>
      </c>
      <c r="M90" s="33" t="n">
        <f aca="false">$C90*Assumptions!$G$23</f>
        <v>156.25</v>
      </c>
      <c r="O90" s="4" t="s">
        <v>223</v>
      </c>
      <c r="P90" s="31" t="n">
        <f aca="false">T85-(T86+$P91)</f>
        <v>40</v>
      </c>
      <c r="T90" s="49" t="n">
        <f aca="false">$P90*Assumptions!$C$21</f>
        <v>40</v>
      </c>
      <c r="U90" s="33" t="n">
        <f aca="false">$P90*Assumptions!$D$21</f>
        <v>0</v>
      </c>
      <c r="V90" s="33" t="n">
        <f aca="false">$P90*Assumptions!$E$21</f>
        <v>0</v>
      </c>
      <c r="W90" s="33" t="n">
        <f aca="false">$P90*Assumptions!$F$21</f>
        <v>0</v>
      </c>
      <c r="Z90" s="33" t="n">
        <f aca="false">$P90*Assumptions!$G$21</f>
        <v>40</v>
      </c>
    </row>
    <row r="91" customFormat="false" ht="15" hidden="false" customHeight="false" outlineLevel="0" collapsed="false">
      <c r="B91" s="4" t="s">
        <v>246</v>
      </c>
      <c r="C91" s="31" t="n">
        <f aca="false">Assumptions!$C$5*Assumptions!$C$8</f>
        <v>200</v>
      </c>
      <c r="G91" s="50"/>
      <c r="H91" s="33" t="n">
        <f aca="false">$C91*Assumptions!$C$17</f>
        <v>200</v>
      </c>
      <c r="I91" s="33" t="n">
        <f aca="false">$C91*Assumptions!$D$17</f>
        <v>30</v>
      </c>
      <c r="J91" s="33" t="n">
        <f aca="false">$C91*Assumptions!$E$17</f>
        <v>10</v>
      </c>
      <c r="K91" s="33" t="n">
        <f aca="false">$C91*Assumptions!$F$17</f>
        <v>10</v>
      </c>
      <c r="M91" s="33" t="n">
        <f aca="false">$C91*Assumptions!$G$17</f>
        <v>250</v>
      </c>
      <c r="O91" s="4" t="s">
        <v>224</v>
      </c>
      <c r="P91" s="31" t="n">
        <f aca="false">Assumptions!$C$11*Assumptions!$C$10</f>
        <v>115</v>
      </c>
      <c r="T91" s="49" t="n">
        <f aca="false">$P91*Assumptions!$C$18</f>
        <v>115</v>
      </c>
      <c r="U91" s="33" t="n">
        <f aca="false">$P91*Assumptions!$D$18</f>
        <v>115</v>
      </c>
      <c r="V91" s="33" t="n">
        <f aca="false">$P91*Assumptions!$E$18</f>
        <v>0</v>
      </c>
      <c r="W91" s="33" t="n">
        <f aca="false">$P91*Assumptions!$F$18</f>
        <v>0</v>
      </c>
      <c r="Z91" s="33" t="n">
        <f aca="false">$P91*Assumptions!$G$18</f>
        <v>230</v>
      </c>
    </row>
    <row r="92" customFormat="false" ht="15" hidden="false" customHeight="false" outlineLevel="0" collapsed="false">
      <c r="B92" s="4" t="s">
        <v>248</v>
      </c>
      <c r="C92" s="31" t="n">
        <f aca="false">Assumptions!$C$5*Assumptions!$C$8</f>
        <v>200</v>
      </c>
      <c r="G92" s="50"/>
      <c r="I92" s="33" t="n">
        <f aca="false">$C92*Assumptions!$C$17</f>
        <v>200</v>
      </c>
      <c r="J92" s="33" t="n">
        <f aca="false">$C92*Assumptions!$D$17</f>
        <v>30</v>
      </c>
      <c r="K92" s="33" t="n">
        <f aca="false">$C92*Assumptions!$E$17</f>
        <v>10</v>
      </c>
      <c r="L92" s="33" t="n">
        <f aca="false">$C92*Assumptions!$F$17</f>
        <v>10</v>
      </c>
      <c r="M92" s="33" t="n">
        <f aca="false">$C92*Assumptions!$G$17</f>
        <v>250</v>
      </c>
      <c r="O92" s="4" t="s">
        <v>247</v>
      </c>
      <c r="P92" s="31" t="n">
        <f aca="false">Assumptions!$C$11*Assumptions!$C$10</f>
        <v>115</v>
      </c>
      <c r="T92" s="50"/>
      <c r="U92" s="33" t="n">
        <f aca="false">$P92*Assumptions!$C$18</f>
        <v>115</v>
      </c>
      <c r="V92" s="33" t="n">
        <f aca="false">$P92*Assumptions!$D$18</f>
        <v>115</v>
      </c>
      <c r="W92" s="33" t="n">
        <f aca="false">$P92*Assumptions!$E$18</f>
        <v>0</v>
      </c>
      <c r="X92" s="33" t="n">
        <f aca="false">$P92*Assumptions!$F$18</f>
        <v>0</v>
      </c>
      <c r="Z92" s="33" t="n">
        <f aca="false">$P92*Assumptions!$G$18</f>
        <v>230</v>
      </c>
    </row>
    <row r="93" customFormat="false" ht="15" hidden="false" customHeight="false" outlineLevel="0" collapsed="false">
      <c r="B93" s="4" t="s">
        <v>250</v>
      </c>
      <c r="C93" s="31" t="n">
        <f aca="false">Assumptions!$C$5*Assumptions!$C$8</f>
        <v>200</v>
      </c>
      <c r="G93" s="50"/>
      <c r="J93" s="33" t="n">
        <f aca="false">$C93*Assumptions!$C$17</f>
        <v>200</v>
      </c>
      <c r="K93" s="33" t="n">
        <f aca="false">$C93*Assumptions!$D$17</f>
        <v>30</v>
      </c>
      <c r="L93" s="33" t="n">
        <f aca="false">$C93*Assumptions!$E$17</f>
        <v>10</v>
      </c>
      <c r="M93" s="33" t="n">
        <f aca="false">$C93*Assumptions!$G$17</f>
        <v>250</v>
      </c>
      <c r="O93" s="4" t="s">
        <v>249</v>
      </c>
      <c r="P93" s="31" t="n">
        <f aca="false">Assumptions!$C$11*Assumptions!$C$10</f>
        <v>115</v>
      </c>
      <c r="T93" s="50"/>
      <c r="V93" s="33" t="n">
        <f aca="false">$P93*Assumptions!$C$18</f>
        <v>115</v>
      </c>
      <c r="W93" s="33" t="n">
        <f aca="false">$P93*Assumptions!$D$18</f>
        <v>115</v>
      </c>
      <c r="X93" s="33" t="n">
        <f aca="false">$P93*Assumptions!$E$18</f>
        <v>0</v>
      </c>
      <c r="Y93" s="33" t="n">
        <f aca="false">$P93*Assumptions!$F$18</f>
        <v>0</v>
      </c>
      <c r="Z93" s="33" t="n">
        <f aca="false">$P93*Assumptions!$G$18</f>
        <v>230</v>
      </c>
    </row>
    <row r="94" customFormat="false" ht="15" hidden="false" customHeight="false" outlineLevel="0" collapsed="false">
      <c r="B94" s="4" t="s">
        <v>252</v>
      </c>
      <c r="C94" s="31" t="n">
        <f aca="false">Assumptions!$C$5*Assumptions!$C$8</f>
        <v>200</v>
      </c>
      <c r="G94" s="50"/>
      <c r="K94" s="33" t="n">
        <f aca="false">$C94*Assumptions!$C$17</f>
        <v>200</v>
      </c>
      <c r="L94" s="33" t="n">
        <f aca="false">$C94*Assumptions!$D$17</f>
        <v>30</v>
      </c>
      <c r="M94" s="33" t="n">
        <f aca="false">$C94*Assumptions!$G$17</f>
        <v>250</v>
      </c>
      <c r="O94" s="4" t="s">
        <v>251</v>
      </c>
      <c r="P94" s="31" t="n">
        <f aca="false">Assumptions!$C$11*Assumptions!$C$10</f>
        <v>115</v>
      </c>
      <c r="T94" s="50"/>
      <c r="W94" s="33" t="n">
        <f aca="false">$P94*Assumptions!$C$18</f>
        <v>115</v>
      </c>
      <c r="X94" s="33" t="n">
        <f aca="false">$P94*Assumptions!$D$18</f>
        <v>115</v>
      </c>
      <c r="Y94" s="33" t="n">
        <f aca="false">$P94*Assumptions!$E$18</f>
        <v>0</v>
      </c>
      <c r="Z94" s="33" t="n">
        <f aca="false">$P94*Assumptions!$G$18</f>
        <v>230</v>
      </c>
    </row>
    <row r="95" customFormat="false" ht="15" hidden="false" customHeight="false" outlineLevel="0" collapsed="false">
      <c r="B95" s="4" t="s">
        <v>254</v>
      </c>
      <c r="C95" s="31" t="n">
        <f aca="false">Assumptions!$C$5*Assumptions!$C$8</f>
        <v>200</v>
      </c>
      <c r="G95" s="50"/>
      <c r="L95" s="33" t="n">
        <f aca="false">$C95*Assumptions!$C$17</f>
        <v>200</v>
      </c>
      <c r="M95" s="33" t="n">
        <f aca="false">$C95*Assumptions!$G$17</f>
        <v>250</v>
      </c>
      <c r="O95" s="4" t="s">
        <v>253</v>
      </c>
      <c r="P95" s="31" t="n">
        <f aca="false">Assumptions!$C$11*Assumptions!$C$10</f>
        <v>115</v>
      </c>
      <c r="T95" s="50"/>
      <c r="X95" s="33" t="n">
        <f aca="false">$P95*Assumptions!$C$18</f>
        <v>115</v>
      </c>
      <c r="Y95" s="33" t="n">
        <f aca="false">$P95*Assumptions!$D$18</f>
        <v>115</v>
      </c>
      <c r="Z95" s="33" t="n">
        <f aca="false">$P95*Assumptions!$G$18</f>
        <v>230</v>
      </c>
    </row>
    <row r="96" customFormat="false" ht="15" hidden="false" customHeight="false" outlineLevel="0" collapsed="false">
      <c r="B96" s="8" t="s">
        <v>203</v>
      </c>
      <c r="C96" s="8" t="s">
        <v>204</v>
      </c>
      <c r="D96" s="13" t="n">
        <f aca="false">D86+SUM(D87:D95)</f>
        <v>125</v>
      </c>
      <c r="E96" s="13" t="n">
        <f aca="false">E86+SUM(E87:E95)</f>
        <v>128.75</v>
      </c>
      <c r="F96" s="13" t="n">
        <f aca="false">F86+SUM(F87:F95)</f>
        <v>130</v>
      </c>
      <c r="G96" s="48" t="n">
        <f aca="false">G86+SUM(G87:G95)</f>
        <v>206.25</v>
      </c>
      <c r="H96" s="13" t="n">
        <f aca="false">H86+SUM(H87:H95)</f>
        <v>221.25</v>
      </c>
      <c r="I96" s="13" t="n">
        <f aca="false">I86+SUM(I87:I95)</f>
        <v>237.5</v>
      </c>
      <c r="J96" s="13" t="n">
        <f aca="false">J86+SUM(J87:J95)</f>
        <v>246.25</v>
      </c>
      <c r="K96" s="13" t="n">
        <f aca="false">K86+SUM(K87:K95)</f>
        <v>250</v>
      </c>
      <c r="L96" s="13" t="n">
        <f aca="false">L86+SUM(L87:L95)</f>
        <v>250</v>
      </c>
      <c r="M96" s="13" t="n">
        <f aca="false">SUM(M87:M95)</f>
        <v>1500</v>
      </c>
      <c r="O96" s="4" t="s">
        <v>255</v>
      </c>
      <c r="P96" s="31" t="n">
        <f aca="false">Assumptions!$C$11*Assumptions!$C$10</f>
        <v>115</v>
      </c>
      <c r="T96" s="50"/>
      <c r="Y96" s="33" t="n">
        <f aca="false">$P96*Assumptions!$C$18</f>
        <v>115</v>
      </c>
      <c r="Z96" s="33" t="n">
        <f aca="false">$P96*Assumptions!$G$18</f>
        <v>230</v>
      </c>
    </row>
    <row r="97" customFormat="false" ht="15" hidden="false" customHeight="false" outlineLevel="0" collapsed="false">
      <c r="B97" s="2" t="s">
        <v>205</v>
      </c>
      <c r="D97" s="37" t="n">
        <f aca="false">D96/D85</f>
        <v>1</v>
      </c>
      <c r="E97" s="37" t="n">
        <f aca="false">E96/E85</f>
        <v>1.03</v>
      </c>
      <c r="F97" s="37" t="n">
        <f aca="false">F96/F85</f>
        <v>1.04</v>
      </c>
      <c r="G97" s="51" t="n">
        <f aca="false">G96/G85</f>
        <v>1.03125</v>
      </c>
      <c r="H97" s="37" t="n">
        <f aca="false">H96/H85</f>
        <v>1.77</v>
      </c>
      <c r="I97" s="37" t="n">
        <f aca="false">I96/I85</f>
        <v>1.9</v>
      </c>
      <c r="J97" s="37" t="n">
        <f aca="false">J96/J85</f>
        <v>1.97</v>
      </c>
      <c r="K97" s="37" t="n">
        <f aca="false">K96/K85</f>
        <v>2</v>
      </c>
      <c r="L97" s="37" t="n">
        <f aca="false">L96/L85</f>
        <v>2</v>
      </c>
      <c r="O97" s="8" t="s">
        <v>203</v>
      </c>
      <c r="P97" s="8" t="s">
        <v>204</v>
      </c>
      <c r="Q97" s="13" t="n">
        <f aca="false">Q86+SUM(Q87:Q96)</f>
        <v>125</v>
      </c>
      <c r="R97" s="13" t="n">
        <f aca="false">R86+SUM(R87:R96)</f>
        <v>125</v>
      </c>
      <c r="S97" s="13" t="n">
        <f aca="false">S86+SUM(S87:S96)</f>
        <v>125</v>
      </c>
      <c r="T97" s="48" t="n">
        <f aca="false">T86+SUM(T87:T96)</f>
        <v>230</v>
      </c>
      <c r="U97" s="13" t="n">
        <f aca="false">U86+SUM(U87:U96)</f>
        <v>230</v>
      </c>
      <c r="V97" s="13" t="n">
        <f aca="false">V86+SUM(V87:V96)</f>
        <v>230</v>
      </c>
      <c r="W97" s="13" t="n">
        <f aca="false">W86+SUM(W87:W96)</f>
        <v>230</v>
      </c>
      <c r="X97" s="13" t="n">
        <f aca="false">X86+SUM(X87:X96)</f>
        <v>230</v>
      </c>
      <c r="Y97" s="13" t="n">
        <f aca="false">Y86+SUM(Y87:Y96)</f>
        <v>230</v>
      </c>
      <c r="Z97" s="13" t="n">
        <f aca="false">SUM(Z87:Z96)</f>
        <v>1495</v>
      </c>
    </row>
    <row r="98" customFormat="false" ht="15" hidden="false" customHeight="false" outlineLevel="0" collapsed="false">
      <c r="B98" s="2" t="s">
        <v>206</v>
      </c>
      <c r="D98" s="39" t="n">
        <f aca="false">D96-Assumptions!$C$5</f>
        <v>25</v>
      </c>
      <c r="E98" s="39" t="n">
        <f aca="false">E96-D96</f>
        <v>3.75</v>
      </c>
      <c r="F98" s="39" t="n">
        <f aca="false">F96-E96</f>
        <v>1.25</v>
      </c>
      <c r="G98" s="52" t="n">
        <f aca="false">G96-F96</f>
        <v>76.25</v>
      </c>
      <c r="H98" s="39" t="n">
        <f aca="false">H96-G96</f>
        <v>15</v>
      </c>
      <c r="I98" s="39" t="n">
        <f aca="false">I96-H96</f>
        <v>16.25</v>
      </c>
      <c r="J98" s="39" t="n">
        <f aca="false">J96-I96</f>
        <v>8.75</v>
      </c>
      <c r="K98" s="39" t="n">
        <f aca="false">K96-J96</f>
        <v>3.75</v>
      </c>
      <c r="L98" s="39" t="n">
        <f aca="false">L96-K96</f>
        <v>0</v>
      </c>
      <c r="O98" s="2" t="s">
        <v>205</v>
      </c>
      <c r="Q98" s="37" t="n">
        <f aca="false">Q97/Q85</f>
        <v>1</v>
      </c>
      <c r="R98" s="37" t="n">
        <f aca="false">R97/R85</f>
        <v>1</v>
      </c>
      <c r="S98" s="37" t="n">
        <f aca="false">S97/S85</f>
        <v>1</v>
      </c>
      <c r="T98" s="51" t="n">
        <f aca="false">T97/T85</f>
        <v>1</v>
      </c>
      <c r="U98" s="37" t="n">
        <f aca="false">U97/U85</f>
        <v>1.84</v>
      </c>
      <c r="V98" s="37" t="n">
        <f aca="false">V97/V85</f>
        <v>1.84</v>
      </c>
      <c r="W98" s="37" t="n">
        <f aca="false">W97/W85</f>
        <v>1.84</v>
      </c>
      <c r="X98" s="37" t="n">
        <f aca="false">X97/X85</f>
        <v>1.84</v>
      </c>
      <c r="Y98" s="37" t="n">
        <f aca="false">Y97/Y85</f>
        <v>1.84</v>
      </c>
    </row>
    <row r="99" customFormat="false" ht="15" hidden="false" customHeight="false" outlineLevel="0" collapsed="false">
      <c r="G99" s="50"/>
      <c r="O99" s="2" t="s">
        <v>206</v>
      </c>
      <c r="Q99" s="39" t="n">
        <f aca="false">Q97-Assumptions!$C$5</f>
        <v>25</v>
      </c>
      <c r="R99" s="39" t="n">
        <f aca="false">R97-Q97</f>
        <v>0</v>
      </c>
      <c r="S99" s="39" t="n">
        <f aca="false">S97-R97</f>
        <v>0</v>
      </c>
      <c r="T99" s="52" t="n">
        <f aca="false">T97-S97</f>
        <v>105</v>
      </c>
      <c r="U99" s="39" t="n">
        <f aca="false">U97-T97</f>
        <v>0</v>
      </c>
      <c r="V99" s="39" t="n">
        <f aca="false">V97-U97</f>
        <v>0</v>
      </c>
      <c r="W99" s="39" t="n">
        <f aca="false">W97-V97</f>
        <v>0</v>
      </c>
      <c r="X99" s="39" t="n">
        <f aca="false">X97-W97</f>
        <v>0</v>
      </c>
      <c r="Y99" s="39" t="n">
        <f aca="false">Y97-X97</f>
        <v>0</v>
      </c>
    </row>
    <row r="100" customFormat="false" ht="15" hidden="false" customHeight="false" outlineLevel="0" collapsed="false">
      <c r="T100" s="50"/>
    </row>
    <row r="103" customFormat="false" ht="15" hidden="false" customHeight="false" outlineLevel="0" collapsed="false">
      <c r="B103" s="3" t="s">
        <v>228</v>
      </c>
    </row>
    <row r="104" customFormat="false" ht="15" hidden="false" customHeight="false" outlineLevel="0" collapsed="false">
      <c r="B104" s="5" t="s">
        <v>180</v>
      </c>
      <c r="C104" s="7" t="s">
        <v>181</v>
      </c>
      <c r="D104" s="7" t="s">
        <v>91</v>
      </c>
      <c r="E104" s="7" t="s">
        <v>92</v>
      </c>
      <c r="F104" s="7" t="s">
        <v>93</v>
      </c>
      <c r="G104" s="7" t="s">
        <v>94</v>
      </c>
      <c r="H104" s="7" t="s">
        <v>95</v>
      </c>
      <c r="I104" s="7" t="s">
        <v>96</v>
      </c>
      <c r="J104" s="7" t="s">
        <v>97</v>
      </c>
      <c r="K104" s="7" t="s">
        <v>98</v>
      </c>
      <c r="L104" s="7" t="s">
        <v>99</v>
      </c>
      <c r="M104" s="7" t="s">
        <v>100</v>
      </c>
      <c r="O104" s="25" t="s">
        <v>182</v>
      </c>
      <c r="P104" s="26" t="s">
        <v>181</v>
      </c>
      <c r="Q104" s="26" t="s">
        <v>91</v>
      </c>
      <c r="R104" s="26" t="s">
        <v>92</v>
      </c>
      <c r="S104" s="26" t="s">
        <v>93</v>
      </c>
      <c r="T104" s="26" t="s">
        <v>94</v>
      </c>
      <c r="U104" s="26" t="s">
        <v>95</v>
      </c>
      <c r="V104" s="26" t="s">
        <v>96</v>
      </c>
      <c r="W104" s="26" t="s">
        <v>97</v>
      </c>
      <c r="X104" s="26" t="s">
        <v>98</v>
      </c>
      <c r="Y104" s="26" t="s">
        <v>99</v>
      </c>
      <c r="Z104" s="26" t="s">
        <v>100</v>
      </c>
    </row>
    <row r="105" customFormat="false" ht="15" hidden="false" customHeight="false" outlineLevel="0" collapsed="false">
      <c r="B105" s="2" t="s">
        <v>183</v>
      </c>
      <c r="D105" s="47" t="n">
        <f aca="false">Assumptions!$C$5*Assumptions!$C$8</f>
        <v>200</v>
      </c>
      <c r="E105" s="28" t="n">
        <f aca="false">Assumptions!$C$5*Assumptions!$C$6</f>
        <v>125</v>
      </c>
      <c r="F105" s="28" t="n">
        <f aca="false">Assumptions!$C$5*Assumptions!$C$6</f>
        <v>125</v>
      </c>
      <c r="G105" s="28" t="n">
        <f aca="false">Assumptions!$C$5*Assumptions!$C$6</f>
        <v>125</v>
      </c>
      <c r="H105" s="28" t="n">
        <f aca="false">Assumptions!$C$5*Assumptions!$C$6</f>
        <v>125</v>
      </c>
      <c r="I105" s="28" t="n">
        <f aca="false">Assumptions!$C$5*Assumptions!$C$6</f>
        <v>125</v>
      </c>
      <c r="J105" s="28" t="n">
        <f aca="false">Assumptions!$C$5*Assumptions!$C$6</f>
        <v>125</v>
      </c>
      <c r="K105" s="28" t="n">
        <f aca="false">Assumptions!$C$5*Assumptions!$C$6</f>
        <v>125</v>
      </c>
      <c r="L105" s="28" t="n">
        <f aca="false">Assumptions!$C$5*Assumptions!$C$6</f>
        <v>125</v>
      </c>
      <c r="O105" s="2" t="s">
        <v>183</v>
      </c>
      <c r="Q105" s="47" t="n">
        <f aca="false">Assumptions!$C$10</f>
        <v>230</v>
      </c>
      <c r="R105" s="28" t="n">
        <f aca="false">Assumptions!$C$5*Assumptions!$C$6</f>
        <v>125</v>
      </c>
      <c r="S105" s="28" t="n">
        <f aca="false">Assumptions!$C$5*Assumptions!$C$6</f>
        <v>125</v>
      </c>
      <c r="T105" s="28" t="n">
        <f aca="false">Assumptions!$C$5*Assumptions!$C$6</f>
        <v>125</v>
      </c>
      <c r="U105" s="28" t="n">
        <f aca="false">Assumptions!$C$5*Assumptions!$C$6</f>
        <v>125</v>
      </c>
      <c r="V105" s="28" t="n">
        <f aca="false">Assumptions!$C$5*Assumptions!$C$6</f>
        <v>125</v>
      </c>
      <c r="W105" s="28" t="n">
        <f aca="false">Assumptions!$C$5*Assumptions!$C$6</f>
        <v>125</v>
      </c>
      <c r="X105" s="28" t="n">
        <f aca="false">Assumptions!$C$5*Assumptions!$C$6</f>
        <v>125</v>
      </c>
      <c r="Y105" s="28" t="n">
        <f aca="false">Assumptions!$C$5*Assumptions!$C$6</f>
        <v>125</v>
      </c>
    </row>
    <row r="106" customFormat="false" ht="15" hidden="false" customHeight="false" outlineLevel="0" collapsed="false">
      <c r="B106" s="4" t="s">
        <v>184</v>
      </c>
      <c r="D106" s="48" t="n">
        <v>50</v>
      </c>
      <c r="E106" s="30" t="n">
        <v>0</v>
      </c>
      <c r="F106" s="30" t="n">
        <v>0</v>
      </c>
      <c r="G106" s="30" t="n">
        <v>0</v>
      </c>
      <c r="H106" s="30" t="n">
        <v>0</v>
      </c>
      <c r="I106" s="30" t="n">
        <v>0</v>
      </c>
      <c r="J106" s="30" t="n">
        <v>0</v>
      </c>
      <c r="K106" s="30" t="n">
        <v>0</v>
      </c>
      <c r="L106" s="30" t="n">
        <v>0</v>
      </c>
      <c r="O106" s="4" t="s">
        <v>184</v>
      </c>
      <c r="Q106" s="48" t="n">
        <v>50</v>
      </c>
      <c r="R106" s="30" t="n">
        <v>0</v>
      </c>
      <c r="S106" s="30" t="n">
        <v>0</v>
      </c>
      <c r="T106" s="30" t="n">
        <v>0</v>
      </c>
      <c r="U106" s="30" t="n">
        <v>0</v>
      </c>
      <c r="V106" s="30" t="n">
        <v>0</v>
      </c>
      <c r="W106" s="30" t="n">
        <v>0</v>
      </c>
      <c r="X106" s="30" t="n">
        <v>0</v>
      </c>
      <c r="Y106" s="30" t="n">
        <v>0</v>
      </c>
    </row>
    <row r="107" customFormat="false" ht="15" hidden="false" customHeight="false" outlineLevel="0" collapsed="false">
      <c r="B107" s="4" t="s">
        <v>258</v>
      </c>
      <c r="C107" s="31" t="n">
        <f aca="false">MAX(Assumptions!$C$5*Assumptions!$C$12,D105-(D106))</f>
        <v>150</v>
      </c>
      <c r="D107" s="49" t="n">
        <f aca="false">$C107*Assumptions!$C$23</f>
        <v>150</v>
      </c>
      <c r="E107" s="33" t="n">
        <f aca="false">$C107*Assumptions!$D$23</f>
        <v>22.5</v>
      </c>
      <c r="F107" s="33" t="n">
        <f aca="false">$C107*Assumptions!$E$23</f>
        <v>7.5</v>
      </c>
      <c r="G107" s="33" t="n">
        <f aca="false">$C107*Assumptions!$F$23</f>
        <v>7.5</v>
      </c>
      <c r="M107" s="33" t="n">
        <f aca="false">$C107*Assumptions!$G$23</f>
        <v>187.5</v>
      </c>
      <c r="O107" s="4" t="s">
        <v>230</v>
      </c>
      <c r="P107" s="31" t="n">
        <f aca="false">Q105-(Q106+$P108)</f>
        <v>65</v>
      </c>
      <c r="Q107" s="49" t="n">
        <f aca="false">$P107*Assumptions!$C$21</f>
        <v>65</v>
      </c>
      <c r="R107" s="33" t="n">
        <f aca="false">$P107*Assumptions!$D$21</f>
        <v>0</v>
      </c>
      <c r="S107" s="33" t="n">
        <f aca="false">$P107*Assumptions!$E$21</f>
        <v>0</v>
      </c>
      <c r="T107" s="33" t="n">
        <f aca="false">$P107*Assumptions!$F$21</f>
        <v>0</v>
      </c>
      <c r="Z107" s="33" t="n">
        <f aca="false">$P107*Assumptions!$G$21</f>
        <v>65</v>
      </c>
    </row>
    <row r="108" customFormat="false" ht="15" hidden="false" customHeight="false" outlineLevel="0" collapsed="false">
      <c r="B108" s="4" t="s">
        <v>259</v>
      </c>
      <c r="C108" s="31" t="n">
        <f aca="false">Assumptions!$C$5*Assumptions!$C$8</f>
        <v>200</v>
      </c>
      <c r="D108" s="50"/>
      <c r="E108" s="33" t="n">
        <f aca="false">$C108*Assumptions!$C$17</f>
        <v>200</v>
      </c>
      <c r="F108" s="33" t="n">
        <f aca="false">$C108*Assumptions!$D$17</f>
        <v>30</v>
      </c>
      <c r="G108" s="33" t="n">
        <f aca="false">$C108*Assumptions!$E$17</f>
        <v>10</v>
      </c>
      <c r="H108" s="33" t="n">
        <f aca="false">$C108*Assumptions!$F$17</f>
        <v>10</v>
      </c>
      <c r="M108" s="33" t="n">
        <f aca="false">$C108*Assumptions!$G$17</f>
        <v>250</v>
      </c>
      <c r="O108" s="4" t="s">
        <v>260</v>
      </c>
      <c r="P108" s="31" t="n">
        <f aca="false">Assumptions!$C$11*Assumptions!$C$10</f>
        <v>115</v>
      </c>
      <c r="Q108" s="49" t="n">
        <f aca="false">$P108*Assumptions!$C$18</f>
        <v>115</v>
      </c>
      <c r="R108" s="33" t="n">
        <f aca="false">$P108*Assumptions!$D$18</f>
        <v>115</v>
      </c>
      <c r="S108" s="33" t="n">
        <f aca="false">$P108*Assumptions!$E$18</f>
        <v>0</v>
      </c>
      <c r="T108" s="33" t="n">
        <f aca="false">$P108*Assumptions!$F$18</f>
        <v>0</v>
      </c>
      <c r="Z108" s="33" t="n">
        <f aca="false">$P108*Assumptions!$G$18</f>
        <v>230</v>
      </c>
    </row>
    <row r="109" customFormat="false" ht="15" hidden="false" customHeight="false" outlineLevel="0" collapsed="false">
      <c r="B109" s="4" t="s">
        <v>261</v>
      </c>
      <c r="C109" s="31" t="n">
        <f aca="false">Assumptions!$C$5*Assumptions!$C$8</f>
        <v>200</v>
      </c>
      <c r="D109" s="50"/>
      <c r="F109" s="33" t="n">
        <f aca="false">$C109*Assumptions!$C$17</f>
        <v>200</v>
      </c>
      <c r="G109" s="33" t="n">
        <f aca="false">$C109*Assumptions!$D$17</f>
        <v>30</v>
      </c>
      <c r="H109" s="33" t="n">
        <f aca="false">$C109*Assumptions!$E$17</f>
        <v>10</v>
      </c>
      <c r="I109" s="33" t="n">
        <f aca="false">$C109*Assumptions!$F$17</f>
        <v>10</v>
      </c>
      <c r="M109" s="33" t="n">
        <f aca="false">$C109*Assumptions!$G$17</f>
        <v>250</v>
      </c>
      <c r="O109" s="4" t="s">
        <v>262</v>
      </c>
      <c r="P109" s="31" t="n">
        <f aca="false">Assumptions!$C$11*Assumptions!$C$10</f>
        <v>115</v>
      </c>
      <c r="Q109" s="50"/>
      <c r="R109" s="33" t="n">
        <f aca="false">$P109*Assumptions!$C$18</f>
        <v>115</v>
      </c>
      <c r="S109" s="33" t="n">
        <f aca="false">$P109*Assumptions!$D$18</f>
        <v>115</v>
      </c>
      <c r="T109" s="33" t="n">
        <f aca="false">$P109*Assumptions!$E$18</f>
        <v>0</v>
      </c>
      <c r="U109" s="33" t="n">
        <f aca="false">$P109*Assumptions!$F$18</f>
        <v>0</v>
      </c>
      <c r="Z109" s="33" t="n">
        <f aca="false">$P109*Assumptions!$G$18</f>
        <v>230</v>
      </c>
    </row>
    <row r="110" customFormat="false" ht="15" hidden="false" customHeight="false" outlineLevel="0" collapsed="false">
      <c r="B110" s="4" t="s">
        <v>244</v>
      </c>
      <c r="C110" s="31" t="n">
        <f aca="false">Assumptions!$C$5*Assumptions!$C$8</f>
        <v>200</v>
      </c>
      <c r="D110" s="50"/>
      <c r="G110" s="33" t="n">
        <f aca="false">$C110*Assumptions!$C$17</f>
        <v>200</v>
      </c>
      <c r="H110" s="33" t="n">
        <f aca="false">$C110*Assumptions!$D$17</f>
        <v>30</v>
      </c>
      <c r="I110" s="33" t="n">
        <f aca="false">$C110*Assumptions!$E$17</f>
        <v>10</v>
      </c>
      <c r="J110" s="33" t="n">
        <f aca="false">$C110*Assumptions!$F$17</f>
        <v>10</v>
      </c>
      <c r="M110" s="33" t="n">
        <f aca="false">$C110*Assumptions!$G$17</f>
        <v>250</v>
      </c>
      <c r="O110" s="4" t="s">
        <v>263</v>
      </c>
      <c r="P110" s="31" t="n">
        <f aca="false">Assumptions!$C$11*Assumptions!$C$10</f>
        <v>115</v>
      </c>
      <c r="Q110" s="50"/>
      <c r="S110" s="33" t="n">
        <f aca="false">$P110*Assumptions!$C$18</f>
        <v>115</v>
      </c>
      <c r="T110" s="33" t="n">
        <f aca="false">$P110*Assumptions!$D$18</f>
        <v>115</v>
      </c>
      <c r="U110" s="33" t="n">
        <f aca="false">$P110*Assumptions!$E$18</f>
        <v>0</v>
      </c>
      <c r="V110" s="33" t="n">
        <f aca="false">$P110*Assumptions!$F$18</f>
        <v>0</v>
      </c>
      <c r="Z110" s="33" t="n">
        <f aca="false">$P110*Assumptions!$G$18</f>
        <v>230</v>
      </c>
    </row>
    <row r="111" customFormat="false" ht="15" hidden="false" customHeight="false" outlineLevel="0" collapsed="false">
      <c r="B111" s="4" t="s">
        <v>246</v>
      </c>
      <c r="C111" s="31" t="n">
        <f aca="false">Assumptions!$C$5*Assumptions!$C$8</f>
        <v>200</v>
      </c>
      <c r="D111" s="50"/>
      <c r="H111" s="33" t="n">
        <f aca="false">$C111*Assumptions!$C$17</f>
        <v>200</v>
      </c>
      <c r="I111" s="33" t="n">
        <f aca="false">$C111*Assumptions!$D$17</f>
        <v>30</v>
      </c>
      <c r="J111" s="33" t="n">
        <f aca="false">$C111*Assumptions!$E$17</f>
        <v>10</v>
      </c>
      <c r="K111" s="33" t="n">
        <f aca="false">$C111*Assumptions!$F$17</f>
        <v>10</v>
      </c>
      <c r="M111" s="33" t="n">
        <f aca="false">$C111*Assumptions!$G$17</f>
        <v>250</v>
      </c>
      <c r="O111" s="4" t="s">
        <v>264</v>
      </c>
      <c r="P111" s="31" t="n">
        <f aca="false">Assumptions!$C$11*Assumptions!$C$10</f>
        <v>115</v>
      </c>
      <c r="Q111" s="50"/>
      <c r="T111" s="33" t="n">
        <f aca="false">$P111*Assumptions!$C$18</f>
        <v>115</v>
      </c>
      <c r="U111" s="33" t="n">
        <f aca="false">$P111*Assumptions!$D$18</f>
        <v>115</v>
      </c>
      <c r="V111" s="33" t="n">
        <f aca="false">$P111*Assumptions!$E$18</f>
        <v>0</v>
      </c>
      <c r="W111" s="33" t="n">
        <f aca="false">$P111*Assumptions!$F$18</f>
        <v>0</v>
      </c>
      <c r="Z111" s="33" t="n">
        <f aca="false">$P111*Assumptions!$G$18</f>
        <v>230</v>
      </c>
    </row>
    <row r="112" customFormat="false" ht="15" hidden="false" customHeight="false" outlineLevel="0" collapsed="false">
      <c r="B112" s="4" t="s">
        <v>248</v>
      </c>
      <c r="C112" s="31" t="n">
        <f aca="false">Assumptions!$C$5*Assumptions!$C$8</f>
        <v>200</v>
      </c>
      <c r="D112" s="50"/>
      <c r="I112" s="33" t="n">
        <f aca="false">$C112*Assumptions!$C$17</f>
        <v>200</v>
      </c>
      <c r="J112" s="33" t="n">
        <f aca="false">$C112*Assumptions!$D$17</f>
        <v>30</v>
      </c>
      <c r="K112" s="33" t="n">
        <f aca="false">$C112*Assumptions!$E$17</f>
        <v>10</v>
      </c>
      <c r="L112" s="33" t="n">
        <f aca="false">$C112*Assumptions!$F$17</f>
        <v>10</v>
      </c>
      <c r="M112" s="33" t="n">
        <f aca="false">$C112*Assumptions!$G$17</f>
        <v>250</v>
      </c>
      <c r="O112" s="4" t="s">
        <v>247</v>
      </c>
      <c r="P112" s="31" t="n">
        <f aca="false">Assumptions!$C$11*Assumptions!$C$10</f>
        <v>115</v>
      </c>
      <c r="Q112" s="50"/>
      <c r="U112" s="33" t="n">
        <f aca="false">$P112*Assumptions!$C$18</f>
        <v>115</v>
      </c>
      <c r="V112" s="33" t="n">
        <f aca="false">$P112*Assumptions!$D$18</f>
        <v>115</v>
      </c>
      <c r="W112" s="33" t="n">
        <f aca="false">$P112*Assumptions!$E$18</f>
        <v>0</v>
      </c>
      <c r="X112" s="33" t="n">
        <f aca="false">$P112*Assumptions!$F$18</f>
        <v>0</v>
      </c>
      <c r="Z112" s="33" t="n">
        <f aca="false">$P112*Assumptions!$G$18</f>
        <v>230</v>
      </c>
    </row>
    <row r="113" customFormat="false" ht="15" hidden="false" customHeight="false" outlineLevel="0" collapsed="false">
      <c r="B113" s="4" t="s">
        <v>250</v>
      </c>
      <c r="C113" s="31" t="n">
        <f aca="false">Assumptions!$C$5*Assumptions!$C$8</f>
        <v>200</v>
      </c>
      <c r="D113" s="50"/>
      <c r="J113" s="33" t="n">
        <f aca="false">$C113*Assumptions!$C$17</f>
        <v>200</v>
      </c>
      <c r="K113" s="33" t="n">
        <f aca="false">$C113*Assumptions!$D$17</f>
        <v>30</v>
      </c>
      <c r="L113" s="33" t="n">
        <f aca="false">$C113*Assumptions!$E$17</f>
        <v>10</v>
      </c>
      <c r="M113" s="33" t="n">
        <f aca="false">$C113*Assumptions!$G$17</f>
        <v>250</v>
      </c>
      <c r="O113" s="4" t="s">
        <v>249</v>
      </c>
      <c r="P113" s="31" t="n">
        <f aca="false">Assumptions!$C$11*Assumptions!$C$10</f>
        <v>115</v>
      </c>
      <c r="Q113" s="50"/>
      <c r="V113" s="33" t="n">
        <f aca="false">$P113*Assumptions!$C$18</f>
        <v>115</v>
      </c>
      <c r="W113" s="33" t="n">
        <f aca="false">$P113*Assumptions!$D$18</f>
        <v>115</v>
      </c>
      <c r="X113" s="33" t="n">
        <f aca="false">$P113*Assumptions!$E$18</f>
        <v>0</v>
      </c>
      <c r="Y113" s="33" t="n">
        <f aca="false">$P113*Assumptions!$F$18</f>
        <v>0</v>
      </c>
      <c r="Z113" s="33" t="n">
        <f aca="false">$P113*Assumptions!$G$18</f>
        <v>230</v>
      </c>
    </row>
    <row r="114" customFormat="false" ht="15" hidden="false" customHeight="false" outlineLevel="0" collapsed="false">
      <c r="B114" s="4" t="s">
        <v>252</v>
      </c>
      <c r="C114" s="31" t="n">
        <f aca="false">Assumptions!$C$5*Assumptions!$C$8</f>
        <v>200</v>
      </c>
      <c r="D114" s="50"/>
      <c r="K114" s="33" t="n">
        <f aca="false">$C114*Assumptions!$C$17</f>
        <v>200</v>
      </c>
      <c r="L114" s="33" t="n">
        <f aca="false">$C114*Assumptions!$D$17</f>
        <v>30</v>
      </c>
      <c r="M114" s="33" t="n">
        <f aca="false">$C114*Assumptions!$G$17</f>
        <v>250</v>
      </c>
      <c r="O114" s="4" t="s">
        <v>251</v>
      </c>
      <c r="P114" s="31" t="n">
        <f aca="false">Assumptions!$C$11*Assumptions!$C$10</f>
        <v>115</v>
      </c>
      <c r="Q114" s="50"/>
      <c r="W114" s="33" t="n">
        <f aca="false">$P114*Assumptions!$C$18</f>
        <v>115</v>
      </c>
      <c r="X114" s="33" t="n">
        <f aca="false">$P114*Assumptions!$D$18</f>
        <v>115</v>
      </c>
      <c r="Y114" s="33" t="n">
        <f aca="false">$P114*Assumptions!$E$18</f>
        <v>0</v>
      </c>
      <c r="Z114" s="33" t="n">
        <f aca="false">$P114*Assumptions!$G$18</f>
        <v>230</v>
      </c>
    </row>
    <row r="115" customFormat="false" ht="15" hidden="false" customHeight="false" outlineLevel="0" collapsed="false">
      <c r="B115" s="4" t="s">
        <v>254</v>
      </c>
      <c r="C115" s="31" t="n">
        <f aca="false">Assumptions!$C$5*Assumptions!$C$8</f>
        <v>200</v>
      </c>
      <c r="D115" s="50"/>
      <c r="L115" s="33" t="n">
        <f aca="false">$C115*Assumptions!$C$17</f>
        <v>200</v>
      </c>
      <c r="M115" s="33" t="n">
        <f aca="false">$C115*Assumptions!$G$17</f>
        <v>250</v>
      </c>
      <c r="O115" s="4" t="s">
        <v>253</v>
      </c>
      <c r="P115" s="31" t="n">
        <f aca="false">Assumptions!$C$11*Assumptions!$C$10</f>
        <v>115</v>
      </c>
      <c r="Q115" s="50"/>
      <c r="X115" s="33" t="n">
        <f aca="false">$P115*Assumptions!$C$18</f>
        <v>115</v>
      </c>
      <c r="Y115" s="33" t="n">
        <f aca="false">$P115*Assumptions!$D$18</f>
        <v>115</v>
      </c>
      <c r="Z115" s="33" t="n">
        <f aca="false">$P115*Assumptions!$G$18</f>
        <v>230</v>
      </c>
    </row>
    <row r="116" customFormat="false" ht="15" hidden="false" customHeight="false" outlineLevel="0" collapsed="false">
      <c r="B116" s="8" t="s">
        <v>203</v>
      </c>
      <c r="C116" s="8" t="s">
        <v>204</v>
      </c>
      <c r="D116" s="48" t="n">
        <f aca="false">D106+SUM(D107:D115)</f>
        <v>200</v>
      </c>
      <c r="E116" s="13" t="n">
        <f aca="false">E106+SUM(E107:E115)</f>
        <v>222.5</v>
      </c>
      <c r="F116" s="13" t="n">
        <f aca="false">F106+SUM(F107:F115)</f>
        <v>237.5</v>
      </c>
      <c r="G116" s="13" t="n">
        <f aca="false">G106+SUM(G107:G115)</f>
        <v>247.5</v>
      </c>
      <c r="H116" s="13" t="n">
        <f aca="false">H106+SUM(H107:H115)</f>
        <v>250</v>
      </c>
      <c r="I116" s="13" t="n">
        <f aca="false">I106+SUM(I107:I115)</f>
        <v>250</v>
      </c>
      <c r="J116" s="13" t="n">
        <f aca="false">J106+SUM(J107:J115)</f>
        <v>250</v>
      </c>
      <c r="K116" s="13" t="n">
        <f aca="false">K106+SUM(K107:K115)</f>
        <v>250</v>
      </c>
      <c r="L116" s="13" t="n">
        <f aca="false">L106+SUM(L107:L115)</f>
        <v>250</v>
      </c>
      <c r="M116" s="13" t="n">
        <f aca="false">SUM(M107:M115)</f>
        <v>2187.5</v>
      </c>
      <c r="O116" s="4" t="s">
        <v>255</v>
      </c>
      <c r="P116" s="31" t="n">
        <f aca="false">Assumptions!$C$11*Assumptions!$C$10</f>
        <v>115</v>
      </c>
      <c r="Q116" s="50"/>
      <c r="Y116" s="33" t="n">
        <f aca="false">$P116*Assumptions!$C$18</f>
        <v>115</v>
      </c>
      <c r="Z116" s="33" t="n">
        <f aca="false">$P116*Assumptions!$G$18</f>
        <v>230</v>
      </c>
    </row>
    <row r="117" customFormat="false" ht="15" hidden="false" customHeight="false" outlineLevel="0" collapsed="false">
      <c r="B117" s="2" t="s">
        <v>205</v>
      </c>
      <c r="D117" s="51" t="n">
        <f aca="false">D116/D105</f>
        <v>1</v>
      </c>
      <c r="E117" s="37" t="n">
        <f aca="false">E116/E105</f>
        <v>1.78</v>
      </c>
      <c r="F117" s="37" t="n">
        <f aca="false">F116/F105</f>
        <v>1.9</v>
      </c>
      <c r="G117" s="37" t="n">
        <f aca="false">G116/G105</f>
        <v>1.98</v>
      </c>
      <c r="H117" s="37" t="n">
        <f aca="false">H116/H105</f>
        <v>2</v>
      </c>
      <c r="I117" s="37" t="n">
        <f aca="false">I116/I105</f>
        <v>2</v>
      </c>
      <c r="J117" s="37" t="n">
        <f aca="false">J116/J105</f>
        <v>2</v>
      </c>
      <c r="K117" s="37" t="n">
        <f aca="false">K116/K105</f>
        <v>2</v>
      </c>
      <c r="L117" s="37" t="n">
        <f aca="false">L116/L105</f>
        <v>2</v>
      </c>
      <c r="O117" s="8" t="s">
        <v>203</v>
      </c>
      <c r="P117" s="8" t="s">
        <v>204</v>
      </c>
      <c r="Q117" s="48" t="n">
        <f aca="false">Q106+SUM(Q107:Q116)</f>
        <v>230</v>
      </c>
      <c r="R117" s="13" t="n">
        <f aca="false">R106+SUM(R107:R116)</f>
        <v>230</v>
      </c>
      <c r="S117" s="13" t="n">
        <f aca="false">S106+SUM(S107:S116)</f>
        <v>230</v>
      </c>
      <c r="T117" s="13" t="n">
        <f aca="false">T106+SUM(T107:T116)</f>
        <v>230</v>
      </c>
      <c r="U117" s="13" t="n">
        <f aca="false">U106+SUM(U107:U116)</f>
        <v>230</v>
      </c>
      <c r="V117" s="13" t="n">
        <f aca="false">V106+SUM(V107:V116)</f>
        <v>230</v>
      </c>
      <c r="W117" s="13" t="n">
        <f aca="false">W106+SUM(W107:W116)</f>
        <v>230</v>
      </c>
      <c r="X117" s="13" t="n">
        <f aca="false">X106+SUM(X107:X116)</f>
        <v>230</v>
      </c>
      <c r="Y117" s="13" t="n">
        <f aca="false">Y106+SUM(Y107:Y116)</f>
        <v>230</v>
      </c>
      <c r="Z117" s="13" t="n">
        <f aca="false">SUM(Z107:Z116)</f>
        <v>2135</v>
      </c>
    </row>
    <row r="118" customFormat="false" ht="15" hidden="false" customHeight="false" outlineLevel="0" collapsed="false">
      <c r="B118" s="2" t="s">
        <v>206</v>
      </c>
      <c r="D118" s="52" t="n">
        <f aca="false">D116-Assumptions!$C$5</f>
        <v>100</v>
      </c>
      <c r="E118" s="39" t="n">
        <f aca="false">E116-D116</f>
        <v>22.5</v>
      </c>
      <c r="F118" s="39" t="n">
        <f aca="false">F116-E116</f>
        <v>15</v>
      </c>
      <c r="G118" s="39" t="n">
        <f aca="false">G116-F116</f>
        <v>10</v>
      </c>
      <c r="H118" s="39" t="n">
        <f aca="false">H116-G116</f>
        <v>2.5</v>
      </c>
      <c r="I118" s="39" t="n">
        <f aca="false">I116-H116</f>
        <v>0</v>
      </c>
      <c r="J118" s="39" t="n">
        <f aca="false">J116-I116</f>
        <v>0</v>
      </c>
      <c r="K118" s="39" t="n">
        <f aca="false">K116-J116</f>
        <v>0</v>
      </c>
      <c r="L118" s="39" t="n">
        <f aca="false">L116-K116</f>
        <v>0</v>
      </c>
      <c r="O118" s="2" t="s">
        <v>205</v>
      </c>
      <c r="Q118" s="51" t="n">
        <f aca="false">Q117/Q105</f>
        <v>1</v>
      </c>
      <c r="R118" s="37" t="n">
        <f aca="false">R117/R105</f>
        <v>1.84</v>
      </c>
      <c r="S118" s="37" t="n">
        <f aca="false">S117/S105</f>
        <v>1.84</v>
      </c>
      <c r="T118" s="37" t="n">
        <f aca="false">T117/T105</f>
        <v>1.84</v>
      </c>
      <c r="U118" s="37" t="n">
        <f aca="false">U117/U105</f>
        <v>1.84</v>
      </c>
      <c r="V118" s="37" t="n">
        <f aca="false">V117/V105</f>
        <v>1.84</v>
      </c>
      <c r="W118" s="37" t="n">
        <f aca="false">W117/W105</f>
        <v>1.84</v>
      </c>
      <c r="X118" s="37" t="n">
        <f aca="false">X117/X105</f>
        <v>1.84</v>
      </c>
      <c r="Y118" s="37" t="n">
        <f aca="false">Y117/Y105</f>
        <v>1.84</v>
      </c>
    </row>
    <row r="119" customFormat="false" ht="15" hidden="false" customHeight="false" outlineLevel="0" collapsed="false">
      <c r="D119" s="50"/>
      <c r="O119" s="2" t="s">
        <v>206</v>
      </c>
      <c r="Q119" s="52" t="n">
        <f aca="false">Q117-Assumptions!$C$5</f>
        <v>130</v>
      </c>
      <c r="R119" s="39" t="n">
        <f aca="false">R117-Q117</f>
        <v>0</v>
      </c>
      <c r="S119" s="39" t="n">
        <f aca="false">S117-R117</f>
        <v>0</v>
      </c>
      <c r="T119" s="39" t="n">
        <f aca="false">T117-S117</f>
        <v>0</v>
      </c>
      <c r="U119" s="39" t="n">
        <f aca="false">U117-T117</f>
        <v>0</v>
      </c>
      <c r="V119" s="39" t="n">
        <f aca="false">V117-U117</f>
        <v>0</v>
      </c>
      <c r="W119" s="39" t="n">
        <f aca="false">W117-V117</f>
        <v>0</v>
      </c>
      <c r="X119" s="39" t="n">
        <f aca="false">X117-W117</f>
        <v>0</v>
      </c>
      <c r="Y119" s="39" t="n">
        <f aca="false">Y117-X117</f>
        <v>0</v>
      </c>
    </row>
    <row r="120" customFormat="false" ht="15" hidden="false" customHeight="false" outlineLevel="0" collapsed="false">
      <c r="Q120" s="50"/>
    </row>
    <row r="123" customFormat="false" ht="15" hidden="false" customHeight="false" outlineLevel="0" collapsed="false">
      <c r="B123" s="3" t="s">
        <v>235</v>
      </c>
    </row>
    <row r="124" customFormat="false" ht="15" hidden="false" customHeight="false" outlineLevel="0" collapsed="false">
      <c r="B124" s="5" t="s">
        <v>180</v>
      </c>
      <c r="C124" s="7" t="s">
        <v>181</v>
      </c>
      <c r="D124" s="7" t="s">
        <v>91</v>
      </c>
      <c r="E124" s="7" t="s">
        <v>92</v>
      </c>
      <c r="F124" s="7" t="s">
        <v>93</v>
      </c>
      <c r="G124" s="7" t="s">
        <v>94</v>
      </c>
      <c r="H124" s="7" t="s">
        <v>95</v>
      </c>
      <c r="I124" s="7" t="s">
        <v>96</v>
      </c>
      <c r="J124" s="7" t="s">
        <v>97</v>
      </c>
      <c r="K124" s="7" t="s">
        <v>98</v>
      </c>
      <c r="L124" s="7" t="s">
        <v>99</v>
      </c>
      <c r="M124" s="7" t="s">
        <v>100</v>
      </c>
      <c r="O124" s="25" t="s">
        <v>182</v>
      </c>
      <c r="P124" s="26" t="s">
        <v>181</v>
      </c>
      <c r="Q124" s="26" t="s">
        <v>91</v>
      </c>
      <c r="R124" s="26" t="s">
        <v>92</v>
      </c>
      <c r="S124" s="26" t="s">
        <v>93</v>
      </c>
      <c r="T124" s="26" t="s">
        <v>94</v>
      </c>
      <c r="U124" s="26" t="s">
        <v>95</v>
      </c>
      <c r="V124" s="26" t="s">
        <v>96</v>
      </c>
      <c r="W124" s="26" t="s">
        <v>97</v>
      </c>
      <c r="X124" s="26" t="s">
        <v>98</v>
      </c>
      <c r="Y124" s="26" t="s">
        <v>99</v>
      </c>
      <c r="Z124" s="26" t="s">
        <v>100</v>
      </c>
    </row>
    <row r="125" customFormat="false" ht="15" hidden="false" customHeight="false" outlineLevel="0" collapsed="false">
      <c r="B125" s="2" t="s">
        <v>183</v>
      </c>
      <c r="D125" s="47" t="n">
        <f aca="false">Assumptions!$C$5*Assumptions!$C$8</f>
        <v>200</v>
      </c>
      <c r="E125" s="28" t="n">
        <f aca="false">Assumptions!$C$5*Assumptions!$C$6</f>
        <v>125</v>
      </c>
      <c r="F125" s="28" t="n">
        <f aca="false">Assumptions!$C$5*Assumptions!$C$6</f>
        <v>125</v>
      </c>
      <c r="G125" s="28" t="n">
        <f aca="false">Assumptions!$C$5*Assumptions!$C$6</f>
        <v>125</v>
      </c>
      <c r="H125" s="28" t="n">
        <f aca="false">Assumptions!$C$5*Assumptions!$C$6</f>
        <v>125</v>
      </c>
      <c r="I125" s="28" t="n">
        <f aca="false">Assumptions!$C$5*Assumptions!$C$6</f>
        <v>125</v>
      </c>
      <c r="J125" s="28" t="n">
        <f aca="false">Assumptions!$C$5*Assumptions!$C$6</f>
        <v>125</v>
      </c>
      <c r="K125" s="28" t="n">
        <f aca="false">Assumptions!$C$5*Assumptions!$C$6</f>
        <v>125</v>
      </c>
      <c r="L125" s="28" t="n">
        <f aca="false">Assumptions!$C$5*Assumptions!$C$6</f>
        <v>125</v>
      </c>
      <c r="O125" s="2" t="s">
        <v>183</v>
      </c>
      <c r="Q125" s="47" t="n">
        <f aca="false">Assumptions!$C$10</f>
        <v>230</v>
      </c>
      <c r="R125" s="28" t="n">
        <f aca="false">Assumptions!$C$5*Assumptions!$C$6</f>
        <v>125</v>
      </c>
      <c r="S125" s="28" t="n">
        <f aca="false">Assumptions!$C$5*Assumptions!$C$6</f>
        <v>125</v>
      </c>
      <c r="T125" s="28" t="n">
        <f aca="false">Assumptions!$C$5*Assumptions!$C$6</f>
        <v>125</v>
      </c>
      <c r="U125" s="28" t="n">
        <f aca="false">Assumptions!$C$5*Assumptions!$C$6</f>
        <v>125</v>
      </c>
      <c r="V125" s="28" t="n">
        <f aca="false">Assumptions!$C$5*Assumptions!$C$6</f>
        <v>125</v>
      </c>
      <c r="W125" s="28" t="n">
        <f aca="false">Assumptions!$C$5*Assumptions!$C$6</f>
        <v>125</v>
      </c>
      <c r="X125" s="28" t="n">
        <f aca="false">Assumptions!$C$5*Assumptions!$C$6</f>
        <v>125</v>
      </c>
      <c r="Y125" s="28" t="n">
        <f aca="false">Assumptions!$C$5*Assumptions!$C$6</f>
        <v>125</v>
      </c>
    </row>
    <row r="126" customFormat="false" ht="15" hidden="false" customHeight="false" outlineLevel="0" collapsed="false">
      <c r="B126" s="4" t="s">
        <v>184</v>
      </c>
      <c r="D126" s="48" t="n">
        <v>75</v>
      </c>
      <c r="E126" s="30" t="n">
        <v>0</v>
      </c>
      <c r="F126" s="30" t="n">
        <v>0</v>
      </c>
      <c r="G126" s="30" t="n">
        <v>0</v>
      </c>
      <c r="H126" s="30" t="n">
        <v>0</v>
      </c>
      <c r="I126" s="30" t="n">
        <v>0</v>
      </c>
      <c r="J126" s="30" t="n">
        <v>0</v>
      </c>
      <c r="K126" s="30" t="n">
        <v>0</v>
      </c>
      <c r="L126" s="30" t="n">
        <v>0</v>
      </c>
      <c r="O126" s="4" t="s">
        <v>184</v>
      </c>
      <c r="Q126" s="48" t="n">
        <v>75</v>
      </c>
      <c r="R126" s="30" t="n">
        <v>0</v>
      </c>
      <c r="S126" s="30" t="n">
        <v>0</v>
      </c>
      <c r="T126" s="30" t="n">
        <v>0</v>
      </c>
      <c r="U126" s="30" t="n">
        <v>0</v>
      </c>
      <c r="V126" s="30" t="n">
        <v>0</v>
      </c>
      <c r="W126" s="30" t="n">
        <v>0</v>
      </c>
      <c r="X126" s="30" t="n">
        <v>0</v>
      </c>
      <c r="Y126" s="30" t="n">
        <v>0</v>
      </c>
    </row>
    <row r="127" customFormat="false" ht="15" hidden="false" customHeight="false" outlineLevel="0" collapsed="false">
      <c r="B127" s="4" t="s">
        <v>258</v>
      </c>
      <c r="C127" s="31" t="n">
        <f aca="false">MAX(Assumptions!$C$5*Assumptions!$C$12,D125-(D126))</f>
        <v>125</v>
      </c>
      <c r="D127" s="49" t="n">
        <f aca="false">$C127*Assumptions!$C$23</f>
        <v>125</v>
      </c>
      <c r="E127" s="33" t="n">
        <f aca="false">$C127*Assumptions!$D$23</f>
        <v>18.75</v>
      </c>
      <c r="F127" s="33" t="n">
        <f aca="false">$C127*Assumptions!$E$23</f>
        <v>6.25</v>
      </c>
      <c r="G127" s="33" t="n">
        <f aca="false">$C127*Assumptions!$F$23</f>
        <v>6.25</v>
      </c>
      <c r="M127" s="33" t="n">
        <f aca="false">$C127*Assumptions!$G$23</f>
        <v>156.25</v>
      </c>
      <c r="O127" s="4" t="s">
        <v>230</v>
      </c>
      <c r="P127" s="31" t="n">
        <f aca="false">Q125-(Q126+$P128)</f>
        <v>40</v>
      </c>
      <c r="Q127" s="49" t="n">
        <f aca="false">$P127*Assumptions!$C$21</f>
        <v>40</v>
      </c>
      <c r="R127" s="33" t="n">
        <f aca="false">$P127*Assumptions!$D$21</f>
        <v>0</v>
      </c>
      <c r="S127" s="33" t="n">
        <f aca="false">$P127*Assumptions!$E$21</f>
        <v>0</v>
      </c>
      <c r="T127" s="33" t="n">
        <f aca="false">$P127*Assumptions!$F$21</f>
        <v>0</v>
      </c>
      <c r="Z127" s="33" t="n">
        <f aca="false">$P127*Assumptions!$G$21</f>
        <v>40</v>
      </c>
    </row>
    <row r="128" customFormat="false" ht="15" hidden="false" customHeight="false" outlineLevel="0" collapsed="false">
      <c r="B128" s="4" t="s">
        <v>259</v>
      </c>
      <c r="C128" s="31" t="n">
        <f aca="false">Assumptions!$C$5*Assumptions!$C$8</f>
        <v>200</v>
      </c>
      <c r="D128" s="50"/>
      <c r="E128" s="33" t="n">
        <f aca="false">$C128*Assumptions!$C$17</f>
        <v>200</v>
      </c>
      <c r="F128" s="33" t="n">
        <f aca="false">$C128*Assumptions!$D$17</f>
        <v>30</v>
      </c>
      <c r="G128" s="33" t="n">
        <f aca="false">$C128*Assumptions!$E$17</f>
        <v>10</v>
      </c>
      <c r="H128" s="33" t="n">
        <f aca="false">$C128*Assumptions!$F$17</f>
        <v>10</v>
      </c>
      <c r="M128" s="33" t="n">
        <f aca="false">$C128*Assumptions!$G$17</f>
        <v>250</v>
      </c>
      <c r="O128" s="4" t="s">
        <v>260</v>
      </c>
      <c r="P128" s="31" t="n">
        <f aca="false">Assumptions!$C$11*Assumptions!$C$10</f>
        <v>115</v>
      </c>
      <c r="Q128" s="49" t="n">
        <f aca="false">$P128*Assumptions!$C$18</f>
        <v>115</v>
      </c>
      <c r="R128" s="33" t="n">
        <f aca="false">$P128*Assumptions!$D$18</f>
        <v>115</v>
      </c>
      <c r="S128" s="33" t="n">
        <f aca="false">$P128*Assumptions!$E$18</f>
        <v>0</v>
      </c>
      <c r="T128" s="33" t="n">
        <f aca="false">$P128*Assumptions!$F$18</f>
        <v>0</v>
      </c>
      <c r="Z128" s="33" t="n">
        <f aca="false">$P128*Assumptions!$G$18</f>
        <v>230</v>
      </c>
    </row>
    <row r="129" customFormat="false" ht="15" hidden="false" customHeight="false" outlineLevel="0" collapsed="false">
      <c r="B129" s="4" t="s">
        <v>261</v>
      </c>
      <c r="C129" s="31" t="n">
        <f aca="false">Assumptions!$C$5*Assumptions!$C$8</f>
        <v>200</v>
      </c>
      <c r="D129" s="50"/>
      <c r="F129" s="33" t="n">
        <f aca="false">$C129*Assumptions!$C$17</f>
        <v>200</v>
      </c>
      <c r="G129" s="33" t="n">
        <f aca="false">$C129*Assumptions!$D$17</f>
        <v>30</v>
      </c>
      <c r="H129" s="33" t="n">
        <f aca="false">$C129*Assumptions!$E$17</f>
        <v>10</v>
      </c>
      <c r="I129" s="33" t="n">
        <f aca="false">$C129*Assumptions!$F$17</f>
        <v>10</v>
      </c>
      <c r="M129" s="33" t="n">
        <f aca="false">$C129*Assumptions!$G$17</f>
        <v>250</v>
      </c>
      <c r="O129" s="4" t="s">
        <v>262</v>
      </c>
      <c r="P129" s="31" t="n">
        <f aca="false">Assumptions!$C$11*Assumptions!$C$10</f>
        <v>115</v>
      </c>
      <c r="Q129" s="50"/>
      <c r="R129" s="33" t="n">
        <f aca="false">$P129*Assumptions!$C$18</f>
        <v>115</v>
      </c>
      <c r="S129" s="33" t="n">
        <f aca="false">$P129*Assumptions!$D$18</f>
        <v>115</v>
      </c>
      <c r="T129" s="33" t="n">
        <f aca="false">$P129*Assumptions!$E$18</f>
        <v>0</v>
      </c>
      <c r="U129" s="33" t="n">
        <f aca="false">$P129*Assumptions!$F$18</f>
        <v>0</v>
      </c>
      <c r="Z129" s="33" t="n">
        <f aca="false">$P129*Assumptions!$G$18</f>
        <v>230</v>
      </c>
    </row>
    <row r="130" customFormat="false" ht="15" hidden="false" customHeight="false" outlineLevel="0" collapsed="false">
      <c r="B130" s="4" t="s">
        <v>244</v>
      </c>
      <c r="C130" s="31" t="n">
        <f aca="false">Assumptions!$C$5*Assumptions!$C$8</f>
        <v>200</v>
      </c>
      <c r="D130" s="50"/>
      <c r="G130" s="33" t="n">
        <f aca="false">$C130*Assumptions!$C$17</f>
        <v>200</v>
      </c>
      <c r="H130" s="33" t="n">
        <f aca="false">$C130*Assumptions!$D$17</f>
        <v>30</v>
      </c>
      <c r="I130" s="33" t="n">
        <f aca="false">$C130*Assumptions!$E$17</f>
        <v>10</v>
      </c>
      <c r="J130" s="33" t="n">
        <f aca="false">$C130*Assumptions!$F$17</f>
        <v>10</v>
      </c>
      <c r="M130" s="33" t="n">
        <f aca="false">$C130*Assumptions!$G$17</f>
        <v>250</v>
      </c>
      <c r="O130" s="4" t="s">
        <v>263</v>
      </c>
      <c r="P130" s="31" t="n">
        <f aca="false">Assumptions!$C$11*Assumptions!$C$10</f>
        <v>115</v>
      </c>
      <c r="Q130" s="50"/>
      <c r="S130" s="33" t="n">
        <f aca="false">$P130*Assumptions!$C$18</f>
        <v>115</v>
      </c>
      <c r="T130" s="33" t="n">
        <f aca="false">$P130*Assumptions!$D$18</f>
        <v>115</v>
      </c>
      <c r="U130" s="33" t="n">
        <f aca="false">$P130*Assumptions!$E$18</f>
        <v>0</v>
      </c>
      <c r="V130" s="33" t="n">
        <f aca="false">$P130*Assumptions!$F$18</f>
        <v>0</v>
      </c>
      <c r="Z130" s="33" t="n">
        <f aca="false">$P130*Assumptions!$G$18</f>
        <v>230</v>
      </c>
    </row>
    <row r="131" customFormat="false" ht="15" hidden="false" customHeight="false" outlineLevel="0" collapsed="false">
      <c r="B131" s="4" t="s">
        <v>246</v>
      </c>
      <c r="C131" s="31" t="n">
        <f aca="false">Assumptions!$C$5*Assumptions!$C$8</f>
        <v>200</v>
      </c>
      <c r="D131" s="50"/>
      <c r="H131" s="33" t="n">
        <f aca="false">$C131*Assumptions!$C$17</f>
        <v>200</v>
      </c>
      <c r="I131" s="33" t="n">
        <f aca="false">$C131*Assumptions!$D$17</f>
        <v>30</v>
      </c>
      <c r="J131" s="33" t="n">
        <f aca="false">$C131*Assumptions!$E$17</f>
        <v>10</v>
      </c>
      <c r="K131" s="33" t="n">
        <f aca="false">$C131*Assumptions!$F$17</f>
        <v>10</v>
      </c>
      <c r="M131" s="33" t="n">
        <f aca="false">$C131*Assumptions!$G$17</f>
        <v>250</v>
      </c>
      <c r="O131" s="4" t="s">
        <v>264</v>
      </c>
      <c r="P131" s="31" t="n">
        <f aca="false">Assumptions!$C$11*Assumptions!$C$10</f>
        <v>115</v>
      </c>
      <c r="Q131" s="50"/>
      <c r="T131" s="33" t="n">
        <f aca="false">$P131*Assumptions!$C$18</f>
        <v>115</v>
      </c>
      <c r="U131" s="33" t="n">
        <f aca="false">$P131*Assumptions!$D$18</f>
        <v>115</v>
      </c>
      <c r="V131" s="33" t="n">
        <f aca="false">$P131*Assumptions!$E$18</f>
        <v>0</v>
      </c>
      <c r="W131" s="33" t="n">
        <f aca="false">$P131*Assumptions!$F$18</f>
        <v>0</v>
      </c>
      <c r="Z131" s="33" t="n">
        <f aca="false">$P131*Assumptions!$G$18</f>
        <v>230</v>
      </c>
    </row>
    <row r="132" customFormat="false" ht="15" hidden="false" customHeight="false" outlineLevel="0" collapsed="false">
      <c r="B132" s="4" t="s">
        <v>248</v>
      </c>
      <c r="C132" s="31" t="n">
        <f aca="false">Assumptions!$C$5*Assumptions!$C$8</f>
        <v>200</v>
      </c>
      <c r="D132" s="50"/>
      <c r="I132" s="33" t="n">
        <f aca="false">$C132*Assumptions!$C$17</f>
        <v>200</v>
      </c>
      <c r="J132" s="33" t="n">
        <f aca="false">$C132*Assumptions!$D$17</f>
        <v>30</v>
      </c>
      <c r="K132" s="33" t="n">
        <f aca="false">$C132*Assumptions!$E$17</f>
        <v>10</v>
      </c>
      <c r="L132" s="33" t="n">
        <f aca="false">$C132*Assumptions!$F$17</f>
        <v>10</v>
      </c>
      <c r="M132" s="33" t="n">
        <f aca="false">$C132*Assumptions!$G$17</f>
        <v>250</v>
      </c>
      <c r="O132" s="4" t="s">
        <v>247</v>
      </c>
      <c r="P132" s="31" t="n">
        <f aca="false">Assumptions!$C$11*Assumptions!$C$10</f>
        <v>115</v>
      </c>
      <c r="Q132" s="50"/>
      <c r="U132" s="33" t="n">
        <f aca="false">$P132*Assumptions!$C$18</f>
        <v>115</v>
      </c>
      <c r="V132" s="33" t="n">
        <f aca="false">$P132*Assumptions!$D$18</f>
        <v>115</v>
      </c>
      <c r="W132" s="33" t="n">
        <f aca="false">$P132*Assumptions!$E$18</f>
        <v>0</v>
      </c>
      <c r="X132" s="33" t="n">
        <f aca="false">$P132*Assumptions!$F$18</f>
        <v>0</v>
      </c>
      <c r="Z132" s="33" t="n">
        <f aca="false">$P132*Assumptions!$G$18</f>
        <v>230</v>
      </c>
    </row>
    <row r="133" customFormat="false" ht="15" hidden="false" customHeight="false" outlineLevel="0" collapsed="false">
      <c r="B133" s="4" t="s">
        <v>250</v>
      </c>
      <c r="C133" s="31" t="n">
        <f aca="false">Assumptions!$C$5*Assumptions!$C$8</f>
        <v>200</v>
      </c>
      <c r="D133" s="50"/>
      <c r="J133" s="33" t="n">
        <f aca="false">$C133*Assumptions!$C$17</f>
        <v>200</v>
      </c>
      <c r="K133" s="33" t="n">
        <f aca="false">$C133*Assumptions!$D$17</f>
        <v>30</v>
      </c>
      <c r="L133" s="33" t="n">
        <f aca="false">$C133*Assumptions!$E$17</f>
        <v>10</v>
      </c>
      <c r="M133" s="33" t="n">
        <f aca="false">$C133*Assumptions!$G$17</f>
        <v>250</v>
      </c>
      <c r="O133" s="4" t="s">
        <v>249</v>
      </c>
      <c r="P133" s="31" t="n">
        <f aca="false">Assumptions!$C$11*Assumptions!$C$10</f>
        <v>115</v>
      </c>
      <c r="Q133" s="50"/>
      <c r="V133" s="33" t="n">
        <f aca="false">$P133*Assumptions!$C$18</f>
        <v>115</v>
      </c>
      <c r="W133" s="33" t="n">
        <f aca="false">$P133*Assumptions!$D$18</f>
        <v>115</v>
      </c>
      <c r="X133" s="33" t="n">
        <f aca="false">$P133*Assumptions!$E$18</f>
        <v>0</v>
      </c>
      <c r="Y133" s="33" t="n">
        <f aca="false">$P133*Assumptions!$F$18</f>
        <v>0</v>
      </c>
      <c r="Z133" s="33" t="n">
        <f aca="false">$P133*Assumptions!$G$18</f>
        <v>230</v>
      </c>
    </row>
    <row r="134" customFormat="false" ht="15" hidden="false" customHeight="false" outlineLevel="0" collapsed="false">
      <c r="B134" s="4" t="s">
        <v>252</v>
      </c>
      <c r="C134" s="31" t="n">
        <f aca="false">Assumptions!$C$5*Assumptions!$C$8</f>
        <v>200</v>
      </c>
      <c r="D134" s="50"/>
      <c r="K134" s="33" t="n">
        <f aca="false">$C134*Assumptions!$C$17</f>
        <v>200</v>
      </c>
      <c r="L134" s="33" t="n">
        <f aca="false">$C134*Assumptions!$D$17</f>
        <v>30</v>
      </c>
      <c r="M134" s="33" t="n">
        <f aca="false">$C134*Assumptions!$G$17</f>
        <v>250</v>
      </c>
      <c r="O134" s="4" t="s">
        <v>251</v>
      </c>
      <c r="P134" s="31" t="n">
        <f aca="false">Assumptions!$C$11*Assumptions!$C$10</f>
        <v>115</v>
      </c>
      <c r="Q134" s="50"/>
      <c r="W134" s="33" t="n">
        <f aca="false">$P134*Assumptions!$C$18</f>
        <v>115</v>
      </c>
      <c r="X134" s="33" t="n">
        <f aca="false">$P134*Assumptions!$D$18</f>
        <v>115</v>
      </c>
      <c r="Y134" s="33" t="n">
        <f aca="false">$P134*Assumptions!$E$18</f>
        <v>0</v>
      </c>
      <c r="Z134" s="33" t="n">
        <f aca="false">$P134*Assumptions!$G$18</f>
        <v>230</v>
      </c>
    </row>
    <row r="135" customFormat="false" ht="15" hidden="false" customHeight="false" outlineLevel="0" collapsed="false">
      <c r="B135" s="4" t="s">
        <v>254</v>
      </c>
      <c r="C135" s="31" t="n">
        <f aca="false">Assumptions!$C$5*Assumptions!$C$8</f>
        <v>200</v>
      </c>
      <c r="D135" s="50"/>
      <c r="L135" s="33" t="n">
        <f aca="false">$C135*Assumptions!$C$17</f>
        <v>200</v>
      </c>
      <c r="M135" s="33" t="n">
        <f aca="false">$C135*Assumptions!$G$17</f>
        <v>250</v>
      </c>
      <c r="O135" s="4" t="s">
        <v>253</v>
      </c>
      <c r="P135" s="31" t="n">
        <f aca="false">Assumptions!$C$11*Assumptions!$C$10</f>
        <v>115</v>
      </c>
      <c r="Q135" s="50"/>
      <c r="X135" s="33" t="n">
        <f aca="false">$P135*Assumptions!$C$18</f>
        <v>115</v>
      </c>
      <c r="Y135" s="33" t="n">
        <f aca="false">$P135*Assumptions!$D$18</f>
        <v>115</v>
      </c>
      <c r="Z135" s="33" t="n">
        <f aca="false">$P135*Assumptions!$G$18</f>
        <v>230</v>
      </c>
    </row>
    <row r="136" customFormat="false" ht="15" hidden="false" customHeight="false" outlineLevel="0" collapsed="false">
      <c r="B136" s="8" t="s">
        <v>203</v>
      </c>
      <c r="C136" s="8" t="s">
        <v>204</v>
      </c>
      <c r="D136" s="48" t="n">
        <f aca="false">D126+SUM(D127:D135)</f>
        <v>200</v>
      </c>
      <c r="E136" s="13" t="n">
        <f aca="false">E126+SUM(E127:E135)</f>
        <v>218.75</v>
      </c>
      <c r="F136" s="13" t="n">
        <f aca="false">F126+SUM(F127:F135)</f>
        <v>236.25</v>
      </c>
      <c r="G136" s="13" t="n">
        <f aca="false">G126+SUM(G127:G135)</f>
        <v>246.25</v>
      </c>
      <c r="H136" s="13" t="n">
        <f aca="false">H126+SUM(H127:H135)</f>
        <v>250</v>
      </c>
      <c r="I136" s="13" t="n">
        <f aca="false">I126+SUM(I127:I135)</f>
        <v>250</v>
      </c>
      <c r="J136" s="13" t="n">
        <f aca="false">J126+SUM(J127:J135)</f>
        <v>250</v>
      </c>
      <c r="K136" s="13" t="n">
        <f aca="false">K126+SUM(K127:K135)</f>
        <v>250</v>
      </c>
      <c r="L136" s="13" t="n">
        <f aca="false">L126+SUM(L127:L135)</f>
        <v>250</v>
      </c>
      <c r="M136" s="13" t="n">
        <f aca="false">SUM(M127:M135)</f>
        <v>2156.25</v>
      </c>
      <c r="O136" s="4" t="s">
        <v>255</v>
      </c>
      <c r="P136" s="31" t="n">
        <f aca="false">Assumptions!$C$11*Assumptions!$C$10</f>
        <v>115</v>
      </c>
      <c r="Q136" s="50"/>
      <c r="Y136" s="33" t="n">
        <f aca="false">$P136*Assumptions!$C$18</f>
        <v>115</v>
      </c>
      <c r="Z136" s="33" t="n">
        <f aca="false">$P136*Assumptions!$G$18</f>
        <v>230</v>
      </c>
    </row>
    <row r="137" customFormat="false" ht="15" hidden="false" customHeight="false" outlineLevel="0" collapsed="false">
      <c r="B137" s="2" t="s">
        <v>205</v>
      </c>
      <c r="D137" s="51" t="n">
        <f aca="false">D136/D125</f>
        <v>1</v>
      </c>
      <c r="E137" s="37" t="n">
        <f aca="false">E136/E125</f>
        <v>1.75</v>
      </c>
      <c r="F137" s="37" t="n">
        <f aca="false">F136/F125</f>
        <v>1.89</v>
      </c>
      <c r="G137" s="37" t="n">
        <f aca="false">G136/G125</f>
        <v>1.97</v>
      </c>
      <c r="H137" s="37" t="n">
        <f aca="false">H136/H125</f>
        <v>2</v>
      </c>
      <c r="I137" s="37" t="n">
        <f aca="false">I136/I125</f>
        <v>2</v>
      </c>
      <c r="J137" s="37" t="n">
        <f aca="false">J136/J125</f>
        <v>2</v>
      </c>
      <c r="K137" s="37" t="n">
        <f aca="false">K136/K125</f>
        <v>2</v>
      </c>
      <c r="L137" s="37" t="n">
        <f aca="false">L136/L125</f>
        <v>2</v>
      </c>
      <c r="O137" s="8" t="s">
        <v>203</v>
      </c>
      <c r="P137" s="8" t="s">
        <v>204</v>
      </c>
      <c r="Q137" s="48" t="n">
        <f aca="false">Q126+SUM(Q127:Q136)</f>
        <v>230</v>
      </c>
      <c r="R137" s="13" t="n">
        <f aca="false">R126+SUM(R127:R136)</f>
        <v>230</v>
      </c>
      <c r="S137" s="13" t="n">
        <f aca="false">S126+SUM(S127:S136)</f>
        <v>230</v>
      </c>
      <c r="T137" s="13" t="n">
        <f aca="false">T126+SUM(T127:T136)</f>
        <v>230</v>
      </c>
      <c r="U137" s="13" t="n">
        <f aca="false">U126+SUM(U127:U136)</f>
        <v>230</v>
      </c>
      <c r="V137" s="13" t="n">
        <f aca="false">V126+SUM(V127:V136)</f>
        <v>230</v>
      </c>
      <c r="W137" s="13" t="n">
        <f aca="false">W126+SUM(W127:W136)</f>
        <v>230</v>
      </c>
      <c r="X137" s="13" t="n">
        <f aca="false">X126+SUM(X127:X136)</f>
        <v>230</v>
      </c>
      <c r="Y137" s="13" t="n">
        <f aca="false">Y126+SUM(Y127:Y136)</f>
        <v>230</v>
      </c>
      <c r="Z137" s="13" t="n">
        <f aca="false">SUM(Z127:Z136)</f>
        <v>2110</v>
      </c>
    </row>
    <row r="138" customFormat="false" ht="15" hidden="false" customHeight="false" outlineLevel="0" collapsed="false">
      <c r="B138" s="2" t="s">
        <v>206</v>
      </c>
      <c r="D138" s="52" t="n">
        <f aca="false">D136-Assumptions!$C$5</f>
        <v>100</v>
      </c>
      <c r="E138" s="39" t="n">
        <f aca="false">E136-D136</f>
        <v>18.75</v>
      </c>
      <c r="F138" s="39" t="n">
        <f aca="false">F136-E136</f>
        <v>17.5</v>
      </c>
      <c r="G138" s="39" t="n">
        <f aca="false">G136-F136</f>
        <v>10</v>
      </c>
      <c r="H138" s="39" t="n">
        <f aca="false">H136-G136</f>
        <v>3.75</v>
      </c>
      <c r="I138" s="39" t="n">
        <f aca="false">I136-H136</f>
        <v>0</v>
      </c>
      <c r="J138" s="39" t="n">
        <f aca="false">J136-I136</f>
        <v>0</v>
      </c>
      <c r="K138" s="39" t="n">
        <f aca="false">K136-J136</f>
        <v>0</v>
      </c>
      <c r="L138" s="39" t="n">
        <f aca="false">L136-K136</f>
        <v>0</v>
      </c>
      <c r="O138" s="2" t="s">
        <v>205</v>
      </c>
      <c r="Q138" s="51" t="n">
        <f aca="false">Q137/Q125</f>
        <v>1</v>
      </c>
      <c r="R138" s="37" t="n">
        <f aca="false">R137/R125</f>
        <v>1.84</v>
      </c>
      <c r="S138" s="37" t="n">
        <f aca="false">S137/S125</f>
        <v>1.84</v>
      </c>
      <c r="T138" s="37" t="n">
        <f aca="false">T137/T125</f>
        <v>1.84</v>
      </c>
      <c r="U138" s="37" t="n">
        <f aca="false">U137/U125</f>
        <v>1.84</v>
      </c>
      <c r="V138" s="37" t="n">
        <f aca="false">V137/V125</f>
        <v>1.84</v>
      </c>
      <c r="W138" s="37" t="n">
        <f aca="false">W137/W125</f>
        <v>1.84</v>
      </c>
      <c r="X138" s="37" t="n">
        <f aca="false">X137/X125</f>
        <v>1.84</v>
      </c>
      <c r="Y138" s="37" t="n">
        <f aca="false">Y137/Y125</f>
        <v>1.84</v>
      </c>
    </row>
    <row r="139" customFormat="false" ht="15" hidden="false" customHeight="false" outlineLevel="0" collapsed="false">
      <c r="D139" s="50"/>
      <c r="O139" s="2" t="s">
        <v>206</v>
      </c>
      <c r="Q139" s="52" t="n">
        <f aca="false">Q137-Assumptions!$C$5</f>
        <v>130</v>
      </c>
      <c r="R139" s="39" t="n">
        <f aca="false">R137-Q137</f>
        <v>0</v>
      </c>
      <c r="S139" s="39" t="n">
        <f aca="false">S137-R137</f>
        <v>0</v>
      </c>
      <c r="T139" s="39" t="n">
        <f aca="false">T137-S137</f>
        <v>0</v>
      </c>
      <c r="U139" s="39" t="n">
        <f aca="false">U137-T137</f>
        <v>0</v>
      </c>
      <c r="V139" s="39" t="n">
        <f aca="false">V137-U137</f>
        <v>0</v>
      </c>
      <c r="W139" s="39" t="n">
        <f aca="false">W137-V137</f>
        <v>0</v>
      </c>
      <c r="X139" s="39" t="n">
        <f aca="false">X137-W137</f>
        <v>0</v>
      </c>
      <c r="Y139" s="39" t="n">
        <f aca="false">Y137-X137</f>
        <v>0</v>
      </c>
    </row>
    <row r="140" customFormat="false" ht="15" hidden="false" customHeight="false" outlineLevel="0" collapsed="false">
      <c r="Q140" s="50"/>
    </row>
    <row r="143" customFormat="false" ht="15" hidden="false" customHeight="false" outlineLevel="0" collapsed="false">
      <c r="B143" s="3" t="s">
        <v>236</v>
      </c>
    </row>
    <row r="144" customFormat="false" ht="15" hidden="false" customHeight="false" outlineLevel="0" collapsed="false">
      <c r="B144" s="5" t="s">
        <v>180</v>
      </c>
      <c r="C144" s="7" t="s">
        <v>181</v>
      </c>
      <c r="D144" s="7" t="s">
        <v>91</v>
      </c>
      <c r="E144" s="7" t="s">
        <v>92</v>
      </c>
      <c r="F144" s="7" t="s">
        <v>93</v>
      </c>
      <c r="G144" s="7" t="s">
        <v>94</v>
      </c>
      <c r="H144" s="7" t="s">
        <v>95</v>
      </c>
      <c r="I144" s="7" t="s">
        <v>96</v>
      </c>
      <c r="J144" s="7" t="s">
        <v>97</v>
      </c>
      <c r="K144" s="7" t="s">
        <v>98</v>
      </c>
      <c r="L144" s="7" t="s">
        <v>99</v>
      </c>
      <c r="M144" s="7" t="s">
        <v>100</v>
      </c>
      <c r="O144" s="25" t="s">
        <v>182</v>
      </c>
      <c r="P144" s="26" t="s">
        <v>181</v>
      </c>
      <c r="Q144" s="26" t="s">
        <v>91</v>
      </c>
      <c r="R144" s="26" t="s">
        <v>92</v>
      </c>
      <c r="S144" s="26" t="s">
        <v>93</v>
      </c>
      <c r="T144" s="26" t="s">
        <v>94</v>
      </c>
      <c r="U144" s="26" t="s">
        <v>95</v>
      </c>
      <c r="V144" s="26" t="s">
        <v>96</v>
      </c>
      <c r="W144" s="26" t="s">
        <v>97</v>
      </c>
      <c r="X144" s="26" t="s">
        <v>98</v>
      </c>
      <c r="Y144" s="26" t="s">
        <v>99</v>
      </c>
      <c r="Z144" s="26" t="s">
        <v>100</v>
      </c>
    </row>
    <row r="145" customFormat="false" ht="15" hidden="false" customHeight="false" outlineLevel="0" collapsed="false">
      <c r="B145" s="2" t="s">
        <v>183</v>
      </c>
      <c r="D145" s="28" t="n">
        <f aca="false">Assumptions!$C$5*Assumptions!$C$6</f>
        <v>125</v>
      </c>
      <c r="E145" s="47" t="n">
        <f aca="false">Assumptions!$C$5*Assumptions!$C$8</f>
        <v>200</v>
      </c>
      <c r="F145" s="28" t="n">
        <f aca="false">Assumptions!$C$5*Assumptions!$C$6</f>
        <v>125</v>
      </c>
      <c r="G145" s="28" t="n">
        <f aca="false">Assumptions!$C$5*Assumptions!$C$6</f>
        <v>125</v>
      </c>
      <c r="H145" s="28" t="n">
        <f aca="false">Assumptions!$C$5*Assumptions!$C$6</f>
        <v>125</v>
      </c>
      <c r="I145" s="28" t="n">
        <f aca="false">Assumptions!$C$5*Assumptions!$C$6</f>
        <v>125</v>
      </c>
      <c r="J145" s="28" t="n">
        <f aca="false">Assumptions!$C$5*Assumptions!$C$6</f>
        <v>125</v>
      </c>
      <c r="K145" s="28" t="n">
        <f aca="false">Assumptions!$C$5*Assumptions!$C$6</f>
        <v>125</v>
      </c>
      <c r="L145" s="28" t="n">
        <f aca="false">Assumptions!$C$5*Assumptions!$C$6</f>
        <v>125</v>
      </c>
      <c r="O145" s="2" t="s">
        <v>183</v>
      </c>
      <c r="Q145" s="28" t="n">
        <f aca="false">Assumptions!$C$5*Assumptions!$C$6</f>
        <v>125</v>
      </c>
      <c r="R145" s="47" t="n">
        <f aca="false">Assumptions!$C$10</f>
        <v>230</v>
      </c>
      <c r="S145" s="28" t="n">
        <f aca="false">Assumptions!$C$5*Assumptions!$C$6</f>
        <v>125</v>
      </c>
      <c r="T145" s="28" t="n">
        <f aca="false">Assumptions!$C$5*Assumptions!$C$6</f>
        <v>125</v>
      </c>
      <c r="U145" s="28" t="n">
        <f aca="false">Assumptions!$C$5*Assumptions!$C$6</f>
        <v>125</v>
      </c>
      <c r="V145" s="28" t="n">
        <f aca="false">Assumptions!$C$5*Assumptions!$C$6</f>
        <v>125</v>
      </c>
      <c r="W145" s="28" t="n">
        <f aca="false">Assumptions!$C$5*Assumptions!$C$6</f>
        <v>125</v>
      </c>
      <c r="X145" s="28" t="n">
        <f aca="false">Assumptions!$C$5*Assumptions!$C$6</f>
        <v>125</v>
      </c>
      <c r="Y145" s="28" t="n">
        <f aca="false">Assumptions!$C$5*Assumptions!$C$6</f>
        <v>125</v>
      </c>
    </row>
    <row r="146" customFormat="false" ht="15" hidden="false" customHeight="false" outlineLevel="0" collapsed="false">
      <c r="B146" s="4" t="s">
        <v>184</v>
      </c>
      <c r="D146" s="30" t="n">
        <v>150</v>
      </c>
      <c r="E146" s="48" t="n">
        <v>125</v>
      </c>
      <c r="F146" s="30" t="n">
        <v>0</v>
      </c>
      <c r="G146" s="30" t="n">
        <v>0</v>
      </c>
      <c r="H146" s="30" t="n">
        <v>0</v>
      </c>
      <c r="I146" s="30" t="n">
        <v>0</v>
      </c>
      <c r="J146" s="30" t="n">
        <v>0</v>
      </c>
      <c r="K146" s="30" t="n">
        <v>0</v>
      </c>
      <c r="L146" s="30" t="n">
        <v>0</v>
      </c>
      <c r="O146" s="4" t="s">
        <v>184</v>
      </c>
      <c r="Q146" s="30" t="n">
        <v>150</v>
      </c>
      <c r="R146" s="48" t="n">
        <v>125</v>
      </c>
      <c r="S146" s="30" t="n">
        <v>0</v>
      </c>
      <c r="T146" s="30" t="n">
        <v>0</v>
      </c>
      <c r="U146" s="30" t="n">
        <v>0</v>
      </c>
      <c r="V146" s="30" t="n">
        <v>0</v>
      </c>
      <c r="W146" s="30" t="n">
        <v>0</v>
      </c>
      <c r="X146" s="30" t="n">
        <v>0</v>
      </c>
      <c r="Y146" s="30" t="n">
        <v>0</v>
      </c>
    </row>
    <row r="147" customFormat="false" ht="15" hidden="false" customHeight="false" outlineLevel="0" collapsed="false">
      <c r="B147" s="4" t="s">
        <v>208</v>
      </c>
      <c r="C147" s="31" t="n">
        <f aca="false">MAX(Assumptions!$C$5*Assumptions!$C$12,D145-(D146))</f>
        <v>25</v>
      </c>
      <c r="D147" s="33" t="n">
        <f aca="false">$C147*Assumptions!$C$23</f>
        <v>25</v>
      </c>
      <c r="E147" s="49" t="n">
        <f aca="false">$C147*Assumptions!$D$23</f>
        <v>3.75</v>
      </c>
      <c r="F147" s="33" t="n">
        <f aca="false">$C147*Assumptions!$E$23</f>
        <v>1.25</v>
      </c>
      <c r="G147" s="33" t="n">
        <f aca="false">$C147*Assumptions!$F$23</f>
        <v>1.25</v>
      </c>
      <c r="M147" s="33" t="n">
        <f aca="false">$C147*Assumptions!$G$23</f>
        <v>31.25</v>
      </c>
      <c r="O147" s="4" t="s">
        <v>209</v>
      </c>
      <c r="P147" s="31" t="n">
        <f aca="false">MAX(Assumptions!$C$5*Assumptions!$C$12,Q145-(Q146))</f>
        <v>25</v>
      </c>
      <c r="Q147" s="33" t="n">
        <f aca="false">$P147*Assumptions!$C$21</f>
        <v>25</v>
      </c>
      <c r="R147" s="49" t="n">
        <f aca="false">$P147*Assumptions!$D$21</f>
        <v>0</v>
      </c>
      <c r="S147" s="33" t="n">
        <f aca="false">$P147*Assumptions!$E$21</f>
        <v>0</v>
      </c>
      <c r="T147" s="33" t="n">
        <f aca="false">$P147*Assumptions!$F$21</f>
        <v>0</v>
      </c>
      <c r="Z147" s="33" t="n">
        <f aca="false">$P147*Assumptions!$G$21</f>
        <v>25</v>
      </c>
    </row>
    <row r="148" customFormat="false" ht="15" hidden="false" customHeight="false" outlineLevel="0" collapsed="false">
      <c r="B148" s="4" t="s">
        <v>265</v>
      </c>
      <c r="C148" s="31" t="n">
        <f aca="false">MAX(Assumptions!$C$5*Assumptions!$C$12,E145-(E146))</f>
        <v>75</v>
      </c>
      <c r="E148" s="49" t="n">
        <f aca="false">$C148*Assumptions!$C$23</f>
        <v>75</v>
      </c>
      <c r="F148" s="33" t="n">
        <f aca="false">$C148*Assumptions!$D$23</f>
        <v>11.25</v>
      </c>
      <c r="G148" s="33" t="n">
        <f aca="false">$C148*Assumptions!$E$23</f>
        <v>3.75</v>
      </c>
      <c r="H148" s="33" t="n">
        <f aca="false">$C148*Assumptions!$F$23</f>
        <v>3.75</v>
      </c>
      <c r="M148" s="33" t="n">
        <f aca="false">$C148*Assumptions!$G$23</f>
        <v>93.75</v>
      </c>
      <c r="O148" s="4" t="s">
        <v>238</v>
      </c>
      <c r="P148" s="31" t="n">
        <f aca="false">MAX(Assumptions!$C$5*Assumptions!$C$12,R145-(R146))</f>
        <v>105</v>
      </c>
      <c r="R148" s="49" t="n">
        <f aca="false">$P148*Assumptions!$C$21</f>
        <v>105</v>
      </c>
      <c r="S148" s="33" t="n">
        <f aca="false">$P148*Assumptions!$D$21</f>
        <v>0</v>
      </c>
      <c r="T148" s="33" t="n">
        <f aca="false">$P148*Assumptions!$E$21</f>
        <v>0</v>
      </c>
      <c r="U148" s="33" t="n">
        <f aca="false">$P148*Assumptions!$F$21</f>
        <v>0</v>
      </c>
      <c r="Z148" s="33" t="n">
        <f aca="false">$P148*Assumptions!$G$21</f>
        <v>105</v>
      </c>
    </row>
    <row r="149" customFormat="false" ht="15" hidden="false" customHeight="false" outlineLevel="0" collapsed="false">
      <c r="B149" s="4" t="s">
        <v>261</v>
      </c>
      <c r="C149" s="31" t="n">
        <f aca="false">Assumptions!$C$5*Assumptions!$C$8</f>
        <v>200</v>
      </c>
      <c r="E149" s="50"/>
      <c r="F149" s="33" t="n">
        <f aca="false">$C149*Assumptions!$C$17</f>
        <v>200</v>
      </c>
      <c r="G149" s="33" t="n">
        <f aca="false">$C149*Assumptions!$D$17</f>
        <v>30</v>
      </c>
      <c r="H149" s="33" t="n">
        <f aca="false">$C149*Assumptions!$E$17</f>
        <v>10</v>
      </c>
      <c r="I149" s="33" t="n">
        <f aca="false">$C149*Assumptions!$F$17</f>
        <v>10</v>
      </c>
      <c r="M149" s="33" t="n">
        <f aca="false">$C149*Assumptions!$G$17</f>
        <v>250</v>
      </c>
      <c r="O149" s="4" t="s">
        <v>266</v>
      </c>
      <c r="P149" s="31" t="n">
        <f aca="false">Assumptions!$C$10</f>
        <v>230</v>
      </c>
      <c r="R149" s="49" t="n">
        <f aca="false">$P149*Assumptions!$C$20</f>
        <v>0</v>
      </c>
      <c r="S149" s="33" t="n">
        <f aca="false">$P149*Assumptions!$D$20</f>
        <v>230</v>
      </c>
      <c r="T149" s="33" t="n">
        <f aca="false">$P149*Assumptions!$E$20</f>
        <v>115</v>
      </c>
      <c r="U149" s="33" t="n">
        <f aca="false">$P149*Assumptions!$F$20</f>
        <v>0</v>
      </c>
      <c r="Z149" s="33" t="n">
        <f aca="false">$P149*Assumptions!$G$20</f>
        <v>345</v>
      </c>
    </row>
    <row r="150" customFormat="false" ht="15" hidden="false" customHeight="false" outlineLevel="0" collapsed="false">
      <c r="B150" s="4" t="s">
        <v>244</v>
      </c>
      <c r="C150" s="31" t="n">
        <f aca="false">Assumptions!$C$5*Assumptions!$C$8</f>
        <v>200</v>
      </c>
      <c r="E150" s="50"/>
      <c r="G150" s="33" t="n">
        <f aca="false">$C150*Assumptions!$C$17</f>
        <v>200</v>
      </c>
      <c r="H150" s="33" t="n">
        <f aca="false">$C150*Assumptions!$D$17</f>
        <v>30</v>
      </c>
      <c r="I150" s="33" t="n">
        <f aca="false">$C150*Assumptions!$E$17</f>
        <v>10</v>
      </c>
      <c r="J150" s="33" t="n">
        <f aca="false">$C150*Assumptions!$F$17</f>
        <v>10</v>
      </c>
      <c r="M150" s="33" t="n">
        <f aca="false">$C150*Assumptions!$G$17</f>
        <v>250</v>
      </c>
      <c r="O150" s="4" t="s">
        <v>264</v>
      </c>
      <c r="P150" s="31" t="n">
        <f aca="false">Assumptions!$C$11*Assumptions!$C$10</f>
        <v>115</v>
      </c>
      <c r="R150" s="50"/>
      <c r="T150" s="33" t="n">
        <f aca="false">$P150*Assumptions!$C$18</f>
        <v>115</v>
      </c>
      <c r="U150" s="33" t="n">
        <f aca="false">$P150*Assumptions!$D$18</f>
        <v>115</v>
      </c>
      <c r="V150" s="33" t="n">
        <f aca="false">$P150*Assumptions!$E$18</f>
        <v>0</v>
      </c>
      <c r="W150" s="33" t="n">
        <f aca="false">$P150*Assumptions!$F$18</f>
        <v>0</v>
      </c>
      <c r="Z150" s="33" t="n">
        <f aca="false">$P150*Assumptions!$G$18</f>
        <v>230</v>
      </c>
    </row>
    <row r="151" customFormat="false" ht="15" hidden="false" customHeight="false" outlineLevel="0" collapsed="false">
      <c r="B151" s="4" t="s">
        <v>246</v>
      </c>
      <c r="C151" s="31" t="n">
        <f aca="false">Assumptions!$C$5*Assumptions!$C$8</f>
        <v>200</v>
      </c>
      <c r="E151" s="50"/>
      <c r="H151" s="33" t="n">
        <f aca="false">$C151*Assumptions!$C$17</f>
        <v>200</v>
      </c>
      <c r="I151" s="33" t="n">
        <f aca="false">$C151*Assumptions!$D$17</f>
        <v>30</v>
      </c>
      <c r="J151" s="33" t="n">
        <f aca="false">$C151*Assumptions!$E$17</f>
        <v>10</v>
      </c>
      <c r="K151" s="33" t="n">
        <f aca="false">$C151*Assumptions!$F$17</f>
        <v>10</v>
      </c>
      <c r="M151" s="33" t="n">
        <f aca="false">$C151*Assumptions!$G$17</f>
        <v>250</v>
      </c>
      <c r="O151" s="4" t="s">
        <v>247</v>
      </c>
      <c r="P151" s="31" t="n">
        <f aca="false">Assumptions!$C$11*Assumptions!$C$10</f>
        <v>115</v>
      </c>
      <c r="R151" s="50"/>
      <c r="U151" s="33" t="n">
        <f aca="false">$P151*Assumptions!$C$18</f>
        <v>115</v>
      </c>
      <c r="V151" s="33" t="n">
        <f aca="false">$P151*Assumptions!$D$18</f>
        <v>115</v>
      </c>
      <c r="W151" s="33" t="n">
        <f aca="false">$P151*Assumptions!$E$18</f>
        <v>0</v>
      </c>
      <c r="X151" s="33" t="n">
        <f aca="false">$P151*Assumptions!$F$18</f>
        <v>0</v>
      </c>
      <c r="Z151" s="33" t="n">
        <f aca="false">$P151*Assumptions!$G$18</f>
        <v>230</v>
      </c>
    </row>
    <row r="152" customFormat="false" ht="15" hidden="false" customHeight="false" outlineLevel="0" collapsed="false">
      <c r="B152" s="4" t="s">
        <v>248</v>
      </c>
      <c r="C152" s="31" t="n">
        <f aca="false">Assumptions!$C$5*Assumptions!$C$8</f>
        <v>200</v>
      </c>
      <c r="E152" s="50"/>
      <c r="I152" s="33" t="n">
        <f aca="false">$C152*Assumptions!$C$17</f>
        <v>200</v>
      </c>
      <c r="J152" s="33" t="n">
        <f aca="false">$C152*Assumptions!$D$17</f>
        <v>30</v>
      </c>
      <c r="K152" s="33" t="n">
        <f aca="false">$C152*Assumptions!$E$17</f>
        <v>10</v>
      </c>
      <c r="L152" s="33" t="n">
        <f aca="false">$C152*Assumptions!$F$17</f>
        <v>10</v>
      </c>
      <c r="M152" s="33" t="n">
        <f aca="false">$C152*Assumptions!$G$17</f>
        <v>250</v>
      </c>
      <c r="O152" s="4" t="s">
        <v>249</v>
      </c>
      <c r="P152" s="31" t="n">
        <f aca="false">Assumptions!$C$11*Assumptions!$C$10</f>
        <v>115</v>
      </c>
      <c r="R152" s="50"/>
      <c r="V152" s="33" t="n">
        <f aca="false">$P152*Assumptions!$C$18</f>
        <v>115</v>
      </c>
      <c r="W152" s="33" t="n">
        <f aca="false">$P152*Assumptions!$D$18</f>
        <v>115</v>
      </c>
      <c r="X152" s="33" t="n">
        <f aca="false">$P152*Assumptions!$E$18</f>
        <v>0</v>
      </c>
      <c r="Y152" s="33" t="n">
        <f aca="false">$P152*Assumptions!$F$18</f>
        <v>0</v>
      </c>
      <c r="Z152" s="33" t="n">
        <f aca="false">$P152*Assumptions!$G$18</f>
        <v>230</v>
      </c>
    </row>
    <row r="153" customFormat="false" ht="15" hidden="false" customHeight="false" outlineLevel="0" collapsed="false">
      <c r="B153" s="4" t="s">
        <v>250</v>
      </c>
      <c r="C153" s="31" t="n">
        <f aca="false">Assumptions!$C$5*Assumptions!$C$8</f>
        <v>200</v>
      </c>
      <c r="E153" s="50"/>
      <c r="J153" s="33" t="n">
        <f aca="false">$C153*Assumptions!$C$17</f>
        <v>200</v>
      </c>
      <c r="K153" s="33" t="n">
        <f aca="false">$C153*Assumptions!$D$17</f>
        <v>30</v>
      </c>
      <c r="L153" s="33" t="n">
        <f aca="false">$C153*Assumptions!$E$17</f>
        <v>10</v>
      </c>
      <c r="M153" s="33" t="n">
        <f aca="false">$C153*Assumptions!$G$17</f>
        <v>250</v>
      </c>
      <c r="O153" s="4" t="s">
        <v>251</v>
      </c>
      <c r="P153" s="31" t="n">
        <f aca="false">Assumptions!$C$11*Assumptions!$C$10</f>
        <v>115</v>
      </c>
      <c r="R153" s="50"/>
      <c r="W153" s="33" t="n">
        <f aca="false">$P153*Assumptions!$C$18</f>
        <v>115</v>
      </c>
      <c r="X153" s="33" t="n">
        <f aca="false">$P153*Assumptions!$D$18</f>
        <v>115</v>
      </c>
      <c r="Y153" s="33" t="n">
        <f aca="false">$P153*Assumptions!$E$18</f>
        <v>0</v>
      </c>
      <c r="Z153" s="33" t="n">
        <f aca="false">$P153*Assumptions!$G$18</f>
        <v>230</v>
      </c>
    </row>
    <row r="154" customFormat="false" ht="15" hidden="false" customHeight="false" outlineLevel="0" collapsed="false">
      <c r="B154" s="4" t="s">
        <v>252</v>
      </c>
      <c r="C154" s="31" t="n">
        <f aca="false">Assumptions!$C$5*Assumptions!$C$8</f>
        <v>200</v>
      </c>
      <c r="E154" s="50"/>
      <c r="K154" s="33" t="n">
        <f aca="false">$C154*Assumptions!$C$17</f>
        <v>200</v>
      </c>
      <c r="L154" s="33" t="n">
        <f aca="false">$C154*Assumptions!$D$17</f>
        <v>30</v>
      </c>
      <c r="M154" s="33" t="n">
        <f aca="false">$C154*Assumptions!$G$17</f>
        <v>250</v>
      </c>
      <c r="O154" s="4" t="s">
        <v>253</v>
      </c>
      <c r="P154" s="31" t="n">
        <f aca="false">Assumptions!$C$11*Assumptions!$C$10</f>
        <v>115</v>
      </c>
      <c r="R154" s="50"/>
      <c r="X154" s="33" t="n">
        <f aca="false">$P154*Assumptions!$C$18</f>
        <v>115</v>
      </c>
      <c r="Y154" s="33" t="n">
        <f aca="false">$P154*Assumptions!$D$18</f>
        <v>115</v>
      </c>
      <c r="Z154" s="33" t="n">
        <f aca="false">$P154*Assumptions!$G$18</f>
        <v>230</v>
      </c>
    </row>
    <row r="155" customFormat="false" ht="15" hidden="false" customHeight="false" outlineLevel="0" collapsed="false">
      <c r="B155" s="4" t="s">
        <v>254</v>
      </c>
      <c r="C155" s="31" t="n">
        <f aca="false">Assumptions!$C$5*Assumptions!$C$8</f>
        <v>200</v>
      </c>
      <c r="E155" s="50"/>
      <c r="L155" s="33" t="n">
        <f aca="false">$C155*Assumptions!$C$17</f>
        <v>200</v>
      </c>
      <c r="M155" s="33" t="n">
        <f aca="false">$C155*Assumptions!$G$17</f>
        <v>250</v>
      </c>
      <c r="O155" s="4" t="s">
        <v>255</v>
      </c>
      <c r="P155" s="31" t="n">
        <f aca="false">Assumptions!$C$11*Assumptions!$C$10</f>
        <v>115</v>
      </c>
      <c r="R155" s="50"/>
      <c r="Y155" s="33" t="n">
        <f aca="false">$P155*Assumptions!$C$18</f>
        <v>115</v>
      </c>
      <c r="Z155" s="33" t="n">
        <f aca="false">$P155*Assumptions!$G$18</f>
        <v>230</v>
      </c>
    </row>
    <row r="156" customFormat="false" ht="15" hidden="false" customHeight="false" outlineLevel="0" collapsed="false">
      <c r="B156" s="8" t="s">
        <v>203</v>
      </c>
      <c r="C156" s="8" t="s">
        <v>204</v>
      </c>
      <c r="D156" s="13" t="n">
        <f aca="false">D146+SUM(D147:D155)</f>
        <v>175</v>
      </c>
      <c r="E156" s="48" t="n">
        <f aca="false">E146+SUM(E147:E155)</f>
        <v>203.75</v>
      </c>
      <c r="F156" s="13" t="n">
        <f aca="false">F146+SUM(F147:F155)</f>
        <v>212.5</v>
      </c>
      <c r="G156" s="13" t="n">
        <f aca="false">G146+SUM(G147:G155)</f>
        <v>235</v>
      </c>
      <c r="H156" s="13" t="n">
        <f aca="false">H146+SUM(H147:H155)</f>
        <v>243.75</v>
      </c>
      <c r="I156" s="13" t="n">
        <f aca="false">I146+SUM(I147:I155)</f>
        <v>250</v>
      </c>
      <c r="J156" s="13" t="n">
        <f aca="false">J146+SUM(J147:J155)</f>
        <v>250</v>
      </c>
      <c r="K156" s="13" t="n">
        <f aca="false">K146+SUM(K147:K155)</f>
        <v>250</v>
      </c>
      <c r="L156" s="13" t="n">
        <f aca="false">L146+SUM(L147:L155)</f>
        <v>250</v>
      </c>
      <c r="M156" s="13" t="n">
        <f aca="false">SUM(M147:M155)</f>
        <v>1875</v>
      </c>
      <c r="O156" s="8" t="s">
        <v>203</v>
      </c>
      <c r="P156" s="8" t="s">
        <v>204</v>
      </c>
      <c r="Q156" s="13" t="n">
        <f aca="false">Q146+SUM(Q147:Q155)</f>
        <v>175</v>
      </c>
      <c r="R156" s="48" t="n">
        <f aca="false">R146+SUM(R147:R155)</f>
        <v>230</v>
      </c>
      <c r="S156" s="13" t="n">
        <f aca="false">S146+SUM(S147:S155)</f>
        <v>230</v>
      </c>
      <c r="T156" s="13" t="n">
        <f aca="false">T146+SUM(T147:T155)</f>
        <v>230</v>
      </c>
      <c r="U156" s="13" t="n">
        <f aca="false">U146+SUM(U147:U155)</f>
        <v>230</v>
      </c>
      <c r="V156" s="13" t="n">
        <f aca="false">V146+SUM(V147:V155)</f>
        <v>230</v>
      </c>
      <c r="W156" s="13" t="n">
        <f aca="false">W146+SUM(W147:W155)</f>
        <v>230</v>
      </c>
      <c r="X156" s="13" t="n">
        <f aca="false">X146+SUM(X147:X155)</f>
        <v>230</v>
      </c>
      <c r="Y156" s="13" t="n">
        <f aca="false">Y146+SUM(Y147:Y155)</f>
        <v>230</v>
      </c>
      <c r="Z156" s="13" t="n">
        <f aca="false">SUM(Z147:Z155)</f>
        <v>1855</v>
      </c>
    </row>
    <row r="157" customFormat="false" ht="15" hidden="false" customHeight="false" outlineLevel="0" collapsed="false">
      <c r="B157" s="2" t="s">
        <v>205</v>
      </c>
      <c r="D157" s="37" t="n">
        <f aca="false">D156/D145</f>
        <v>1.4</v>
      </c>
      <c r="E157" s="51" t="n">
        <f aca="false">E156/E145</f>
        <v>1.01875</v>
      </c>
      <c r="F157" s="37" t="n">
        <f aca="false">F156/F145</f>
        <v>1.7</v>
      </c>
      <c r="G157" s="37" t="n">
        <f aca="false">G156/G145</f>
        <v>1.88</v>
      </c>
      <c r="H157" s="37" t="n">
        <f aca="false">H156/H145</f>
        <v>1.95</v>
      </c>
      <c r="I157" s="37" t="n">
        <f aca="false">I156/I145</f>
        <v>2</v>
      </c>
      <c r="J157" s="37" t="n">
        <f aca="false">J156/J145</f>
        <v>2</v>
      </c>
      <c r="K157" s="37" t="n">
        <f aca="false">K156/K145</f>
        <v>2</v>
      </c>
      <c r="L157" s="37" t="n">
        <f aca="false">L156/L145</f>
        <v>2</v>
      </c>
      <c r="O157" s="2" t="s">
        <v>205</v>
      </c>
      <c r="Q157" s="37" t="n">
        <f aca="false">Q156/Q145</f>
        <v>1.4</v>
      </c>
      <c r="R157" s="51" t="n">
        <f aca="false">R156/R145</f>
        <v>1</v>
      </c>
      <c r="S157" s="37" t="n">
        <f aca="false">S156/S145</f>
        <v>1.84</v>
      </c>
      <c r="T157" s="37" t="n">
        <f aca="false">T156/T145</f>
        <v>1.84</v>
      </c>
      <c r="U157" s="37" t="n">
        <f aca="false">U156/U145</f>
        <v>1.84</v>
      </c>
      <c r="V157" s="37" t="n">
        <f aca="false">V156/V145</f>
        <v>1.84</v>
      </c>
      <c r="W157" s="37" t="n">
        <f aca="false">W156/W145</f>
        <v>1.84</v>
      </c>
      <c r="X157" s="37" t="n">
        <f aca="false">X156/X145</f>
        <v>1.84</v>
      </c>
      <c r="Y157" s="37" t="n">
        <f aca="false">Y156/Y145</f>
        <v>1.84</v>
      </c>
    </row>
    <row r="158" customFormat="false" ht="15" hidden="false" customHeight="false" outlineLevel="0" collapsed="false">
      <c r="B158" s="2" t="s">
        <v>206</v>
      </c>
      <c r="D158" s="39" t="n">
        <f aca="false">D156-Assumptions!$C$5</f>
        <v>75</v>
      </c>
      <c r="E158" s="52" t="n">
        <f aca="false">E156-D156</f>
        <v>28.75</v>
      </c>
      <c r="F158" s="39" t="n">
        <f aca="false">F156-E156</f>
        <v>8.75</v>
      </c>
      <c r="G158" s="39" t="n">
        <f aca="false">G156-F156</f>
        <v>22.5</v>
      </c>
      <c r="H158" s="39" t="n">
        <f aca="false">H156-G156</f>
        <v>8.75</v>
      </c>
      <c r="I158" s="39" t="n">
        <f aca="false">I156-H156</f>
        <v>6.25</v>
      </c>
      <c r="J158" s="39" t="n">
        <f aca="false">J156-I156</f>
        <v>0</v>
      </c>
      <c r="K158" s="39" t="n">
        <f aca="false">K156-J156</f>
        <v>0</v>
      </c>
      <c r="L158" s="39" t="n">
        <f aca="false">L156-K156</f>
        <v>0</v>
      </c>
      <c r="O158" s="2" t="s">
        <v>206</v>
      </c>
      <c r="Q158" s="39" t="n">
        <f aca="false">Q156-Assumptions!$C$5</f>
        <v>75</v>
      </c>
      <c r="R158" s="52" t="n">
        <f aca="false">R156-Q156</f>
        <v>55</v>
      </c>
      <c r="S158" s="39" t="n">
        <f aca="false">S156-R156</f>
        <v>0</v>
      </c>
      <c r="T158" s="39" t="n">
        <f aca="false">T156-S156</f>
        <v>0</v>
      </c>
      <c r="U158" s="39" t="n">
        <f aca="false">U156-T156</f>
        <v>0</v>
      </c>
      <c r="V158" s="39" t="n">
        <f aca="false">V156-U156</f>
        <v>0</v>
      </c>
      <c r="W158" s="39" t="n">
        <f aca="false">W156-V156</f>
        <v>0</v>
      </c>
      <c r="X158" s="39" t="n">
        <f aca="false">X156-W156</f>
        <v>0</v>
      </c>
      <c r="Y158" s="39" t="n">
        <f aca="false">Y156-X156</f>
        <v>0</v>
      </c>
    </row>
    <row r="159" customFormat="false" ht="15" hidden="false" customHeight="false" outlineLevel="0" collapsed="false">
      <c r="E159" s="50"/>
      <c r="R159" s="5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2" min="3" style="0" width="8"/>
    <col collapsed="false" customWidth="true" hidden="false" outlineLevel="0" max="13" min="13" style="0" width="8.5"/>
    <col collapsed="false" customWidth="true" hidden="false" outlineLevel="0" max="14" min="14" style="0" width="2"/>
    <col collapsed="false" customWidth="true" hidden="false" outlineLevel="0" max="15" min="15" style="0" width="34"/>
    <col collapsed="false" customWidth="true" hidden="false" outlineLevel="0" max="25" min="16" style="0" width="8"/>
    <col collapsed="false" customWidth="true" hidden="false" outlineLevel="0" max="26" min="26" style="0" width="8.5"/>
  </cols>
  <sheetData>
    <row r="2" customFormat="false" ht="17.35" hidden="false" customHeight="false" outlineLevel="0" collapsed="false">
      <c r="B2" s="1" t="s">
        <v>267</v>
      </c>
    </row>
    <row r="3" customFormat="false" ht="15" hidden="false" customHeight="false" outlineLevel="0" collapsed="false">
      <c r="B3" s="2" t="s">
        <v>178</v>
      </c>
    </row>
    <row r="5" customFormat="false" ht="15" hidden="false" customHeight="false" outlineLevel="0" collapsed="false">
      <c r="B5" s="3" t="s">
        <v>179</v>
      </c>
    </row>
    <row r="6" customFormat="false" ht="15" hidden="false" customHeight="false" outlineLevel="0" collapsed="false">
      <c r="B6" s="2" t="s">
        <v>268</v>
      </c>
    </row>
    <row r="9" customFormat="false" ht="15" hidden="false" customHeight="false" outlineLevel="0" collapsed="false">
      <c r="B9" s="3" t="s">
        <v>207</v>
      </c>
    </row>
    <row r="10" customFormat="false" ht="15" hidden="false" customHeight="false" outlineLevel="0" collapsed="false">
      <c r="B10" s="5" t="s">
        <v>180</v>
      </c>
      <c r="C10" s="7" t="s">
        <v>181</v>
      </c>
      <c r="D10" s="7" t="s">
        <v>91</v>
      </c>
      <c r="E10" s="7" t="s">
        <v>92</v>
      </c>
      <c r="F10" s="7" t="s">
        <v>93</v>
      </c>
      <c r="G10" s="7" t="s">
        <v>94</v>
      </c>
      <c r="H10" s="7" t="s">
        <v>95</v>
      </c>
      <c r="I10" s="7" t="s">
        <v>96</v>
      </c>
      <c r="J10" s="7" t="s">
        <v>97</v>
      </c>
      <c r="K10" s="7" t="s">
        <v>98</v>
      </c>
      <c r="L10" s="7" t="s">
        <v>99</v>
      </c>
      <c r="M10" s="7" t="s">
        <v>100</v>
      </c>
      <c r="O10" s="25" t="s">
        <v>182</v>
      </c>
      <c r="P10" s="26" t="s">
        <v>181</v>
      </c>
      <c r="Q10" s="26" t="s">
        <v>91</v>
      </c>
      <c r="R10" s="26" t="s">
        <v>92</v>
      </c>
      <c r="S10" s="26" t="s">
        <v>93</v>
      </c>
      <c r="T10" s="26" t="s">
        <v>94</v>
      </c>
      <c r="U10" s="26" t="s">
        <v>95</v>
      </c>
      <c r="V10" s="26" t="s">
        <v>96</v>
      </c>
      <c r="W10" s="26" t="s">
        <v>97</v>
      </c>
      <c r="X10" s="26" t="s">
        <v>98</v>
      </c>
      <c r="Y10" s="26" t="s">
        <v>99</v>
      </c>
      <c r="Z10" s="26" t="s">
        <v>100</v>
      </c>
    </row>
    <row r="11" customFormat="false" ht="15" hidden="false" customHeight="false" outlineLevel="0" collapsed="false">
      <c r="B11" s="2" t="s">
        <v>183</v>
      </c>
      <c r="D11" s="28" t="n">
        <f aca="false">Assumptions!$C$5*Assumptions!$C$6</f>
        <v>125</v>
      </c>
      <c r="E11" s="28" t="n">
        <f aca="false">Assumptions!$C$5*Assumptions!$C$6</f>
        <v>125</v>
      </c>
      <c r="F11" s="40" t="n">
        <f aca="false">Assumptions!$C$5*Assumptions!$C$8</f>
        <v>200</v>
      </c>
      <c r="G11" s="27" t="n">
        <f aca="false">Assumptions!$C$5*Assumptions!$C$8</f>
        <v>200</v>
      </c>
      <c r="H11" s="28" t="n">
        <f aca="false">Assumptions!$C$5*Assumptions!$C$6</f>
        <v>125</v>
      </c>
      <c r="I11" s="28" t="n">
        <f aca="false">Assumptions!$C$5*Assumptions!$C$6</f>
        <v>125</v>
      </c>
      <c r="J11" s="28" t="n">
        <f aca="false">Assumptions!$C$5*Assumptions!$C$6</f>
        <v>125</v>
      </c>
      <c r="K11" s="28" t="n">
        <f aca="false">Assumptions!$C$5*Assumptions!$C$6</f>
        <v>125</v>
      </c>
      <c r="L11" s="28" t="n">
        <f aca="false">Assumptions!$C$5*Assumptions!$C$6</f>
        <v>125</v>
      </c>
      <c r="O11" s="2" t="s">
        <v>183</v>
      </c>
      <c r="Q11" s="28" t="n">
        <f aca="false">Assumptions!$C$5*Assumptions!$C$6</f>
        <v>125</v>
      </c>
      <c r="R11" s="28" t="n">
        <f aca="false">Assumptions!$C$5*Assumptions!$C$6</f>
        <v>125</v>
      </c>
      <c r="S11" s="40" t="n">
        <f aca="false">Assumptions!$C$10</f>
        <v>230</v>
      </c>
      <c r="T11" s="27" t="n">
        <f aca="false">Assumptions!$C$10</f>
        <v>230</v>
      </c>
      <c r="U11" s="28" t="n">
        <f aca="false">Assumptions!$C$5*Assumptions!$C$6</f>
        <v>125</v>
      </c>
      <c r="V11" s="28" t="n">
        <f aca="false">Assumptions!$C$5*Assumptions!$C$6</f>
        <v>125</v>
      </c>
      <c r="W11" s="28" t="n">
        <f aca="false">Assumptions!$C$5*Assumptions!$C$6</f>
        <v>125</v>
      </c>
      <c r="X11" s="28" t="n">
        <f aca="false">Assumptions!$C$5*Assumptions!$C$6</f>
        <v>125</v>
      </c>
      <c r="Y11" s="28" t="n">
        <f aca="false">Assumptions!$C$5*Assumptions!$C$6</f>
        <v>125</v>
      </c>
    </row>
    <row r="12" customFormat="false" ht="15" hidden="false" customHeight="false" outlineLevel="0" collapsed="false">
      <c r="B12" s="4" t="s">
        <v>184</v>
      </c>
      <c r="D12" s="30" t="n">
        <v>100</v>
      </c>
      <c r="E12" s="30" t="n">
        <v>100</v>
      </c>
      <c r="F12" s="41" t="n">
        <v>100</v>
      </c>
      <c r="G12" s="29" t="n">
        <v>0</v>
      </c>
      <c r="H12" s="30" t="n">
        <v>0</v>
      </c>
      <c r="I12" s="30" t="n">
        <v>0</v>
      </c>
      <c r="J12" s="30" t="n">
        <v>0</v>
      </c>
      <c r="K12" s="30" t="n">
        <v>0</v>
      </c>
      <c r="L12" s="30" t="n">
        <v>0</v>
      </c>
      <c r="O12" s="4" t="s">
        <v>184</v>
      </c>
      <c r="Q12" s="30" t="n">
        <v>100</v>
      </c>
      <c r="R12" s="30" t="n">
        <v>100</v>
      </c>
      <c r="S12" s="41" t="n">
        <v>100</v>
      </c>
      <c r="T12" s="29" t="n">
        <v>0</v>
      </c>
      <c r="U12" s="30" t="n">
        <v>0</v>
      </c>
      <c r="V12" s="30" t="n">
        <v>0</v>
      </c>
      <c r="W12" s="30" t="n">
        <v>0</v>
      </c>
      <c r="X12" s="30" t="n">
        <v>0</v>
      </c>
      <c r="Y12" s="30" t="n">
        <v>0</v>
      </c>
    </row>
    <row r="13" customFormat="false" ht="15" hidden="false" customHeight="false" outlineLevel="0" collapsed="false">
      <c r="B13" s="4" t="s">
        <v>208</v>
      </c>
      <c r="C13" s="31" t="n">
        <f aca="false">MAX(Assumptions!$C$5*Assumptions!$C$12,D11-(D12))</f>
        <v>25</v>
      </c>
      <c r="D13" s="33" t="n">
        <f aca="false">$C13*Assumptions!$C$23</f>
        <v>25</v>
      </c>
      <c r="E13" s="33" t="n">
        <f aca="false">$C13*Assumptions!$D$23</f>
        <v>3.75</v>
      </c>
      <c r="F13" s="42" t="n">
        <f aca="false">$C13*Assumptions!$E$23</f>
        <v>1.25</v>
      </c>
      <c r="G13" s="32" t="n">
        <f aca="false">$C13*Assumptions!$F$23</f>
        <v>1.25</v>
      </c>
      <c r="M13" s="33" t="n">
        <f aca="false">$C13*Assumptions!$G$23</f>
        <v>31.25</v>
      </c>
      <c r="O13" s="4" t="s">
        <v>209</v>
      </c>
      <c r="P13" s="31" t="n">
        <f aca="false">MAX(Assumptions!$C$5*Assumptions!$C$12,Q11-(Q12))</f>
        <v>25</v>
      </c>
      <c r="Q13" s="33" t="n">
        <f aca="false">$P13*Assumptions!$C$21</f>
        <v>25</v>
      </c>
      <c r="R13" s="33" t="n">
        <f aca="false">$P13*Assumptions!$D$21</f>
        <v>0</v>
      </c>
      <c r="S13" s="42" t="n">
        <f aca="false">$P13*Assumptions!$E$21</f>
        <v>0</v>
      </c>
      <c r="T13" s="32" t="n">
        <f aca="false">$P13*Assumptions!$F$21</f>
        <v>0</v>
      </c>
      <c r="Z13" s="33" t="n">
        <f aca="false">$P13*Assumptions!$G$21</f>
        <v>25</v>
      </c>
    </row>
    <row r="14" customFormat="false" ht="15" hidden="false" customHeight="false" outlineLevel="0" collapsed="false">
      <c r="B14" s="4" t="s">
        <v>210</v>
      </c>
      <c r="C14" s="31" t="n">
        <f aca="false">MAX(Assumptions!$C$5*Assumptions!$C$12,E11-(E12))</f>
        <v>25</v>
      </c>
      <c r="E14" s="33" t="n">
        <f aca="false">$C14*Assumptions!$C$23</f>
        <v>25</v>
      </c>
      <c r="F14" s="42" t="n">
        <f aca="false">$C14*Assumptions!$D$23</f>
        <v>3.75</v>
      </c>
      <c r="G14" s="32" t="n">
        <f aca="false">$C14*Assumptions!$E$23</f>
        <v>1.25</v>
      </c>
      <c r="H14" s="33" t="n">
        <f aca="false">$C14*Assumptions!$F$23</f>
        <v>1.25</v>
      </c>
      <c r="M14" s="33" t="n">
        <f aca="false">$C14*Assumptions!$G$23</f>
        <v>31.25</v>
      </c>
      <c r="O14" s="4" t="s">
        <v>211</v>
      </c>
      <c r="P14" s="31" t="n">
        <f aca="false">MAX(Assumptions!$C$5*Assumptions!$C$12,R11-(R12))</f>
        <v>25</v>
      </c>
      <c r="R14" s="33" t="n">
        <f aca="false">$P14*Assumptions!$C$21</f>
        <v>25</v>
      </c>
      <c r="S14" s="42" t="n">
        <f aca="false">$P14*Assumptions!$D$21</f>
        <v>0</v>
      </c>
      <c r="T14" s="32" t="n">
        <f aca="false">$P14*Assumptions!$E$21</f>
        <v>0</v>
      </c>
      <c r="U14" s="33" t="n">
        <f aca="false">$P14*Assumptions!$F$21</f>
        <v>0</v>
      </c>
      <c r="Z14" s="33" t="n">
        <f aca="false">$P14*Assumptions!$G$21</f>
        <v>25</v>
      </c>
    </row>
    <row r="15" customFormat="false" ht="15" hidden="false" customHeight="false" outlineLevel="0" collapsed="false">
      <c r="B15" s="4" t="s">
        <v>269</v>
      </c>
      <c r="C15" s="31" t="n">
        <f aca="false">MAX(Assumptions!$C$5*Assumptions!$C$12,F11-(F12))</f>
        <v>100</v>
      </c>
      <c r="F15" s="42" t="n">
        <f aca="false">$C15*Assumptions!$C$23</f>
        <v>100</v>
      </c>
      <c r="G15" s="32" t="n">
        <f aca="false">$C15*Assumptions!$D$23</f>
        <v>15</v>
      </c>
      <c r="H15" s="33" t="n">
        <f aca="false">$C15*Assumptions!$E$23</f>
        <v>5</v>
      </c>
      <c r="I15" s="33" t="n">
        <f aca="false">$C15*Assumptions!$F$23</f>
        <v>5</v>
      </c>
      <c r="M15" s="33" t="n">
        <f aca="false">$C15*Assumptions!$G$23</f>
        <v>125</v>
      </c>
      <c r="O15" s="4" t="s">
        <v>243</v>
      </c>
      <c r="P15" s="31" t="n">
        <f aca="false">MAX(Assumptions!$C$5*Assumptions!$C$12,S11-(S12))</f>
        <v>130</v>
      </c>
      <c r="S15" s="42" t="n">
        <f aca="false">$P15*Assumptions!$C$21</f>
        <v>130</v>
      </c>
      <c r="T15" s="32" t="n">
        <f aca="false">$P15*Assumptions!$D$21</f>
        <v>0</v>
      </c>
      <c r="U15" s="33" t="n">
        <f aca="false">$P15*Assumptions!$E$21</f>
        <v>0</v>
      </c>
      <c r="V15" s="33" t="n">
        <f aca="false">$P15*Assumptions!$F$21</f>
        <v>0</v>
      </c>
      <c r="Z15" s="33" t="n">
        <f aca="false">$P15*Assumptions!$G$21</f>
        <v>130</v>
      </c>
    </row>
    <row r="16" customFormat="false" ht="15" hidden="false" customHeight="false" outlineLevel="0" collapsed="false">
      <c r="B16" s="4" t="s">
        <v>270</v>
      </c>
      <c r="C16" s="31" t="n">
        <f aca="false">MAX(Assumptions!$C$5*Assumptions!$C$12,G11-(G12))</f>
        <v>200</v>
      </c>
      <c r="F16" s="43"/>
      <c r="G16" s="32" t="n">
        <f aca="false">$C16*Assumptions!$C$17</f>
        <v>200</v>
      </c>
      <c r="H16" s="33" t="n">
        <f aca="false">$C16*Assumptions!$D$17</f>
        <v>30</v>
      </c>
      <c r="I16" s="33" t="n">
        <f aca="false">$C16*Assumptions!$E$17</f>
        <v>10</v>
      </c>
      <c r="J16" s="33" t="n">
        <f aca="false">$C16*Assumptions!$F$17</f>
        <v>10</v>
      </c>
      <c r="M16" s="33" t="n">
        <f aca="false">$C16*Assumptions!$G$17</f>
        <v>250</v>
      </c>
      <c r="O16" s="4" t="s">
        <v>257</v>
      </c>
      <c r="P16" s="31" t="n">
        <f aca="false">Assumptions!$C$10</f>
        <v>230</v>
      </c>
      <c r="S16" s="43"/>
      <c r="T16" s="32" t="n">
        <f aca="false">$P16*Assumptions!$C$19</f>
        <v>230</v>
      </c>
      <c r="U16" s="33" t="n">
        <f aca="false">$P16*Assumptions!$D$19</f>
        <v>115</v>
      </c>
      <c r="V16" s="33" t="n">
        <f aca="false">$P16*Assumptions!$E$19</f>
        <v>0</v>
      </c>
      <c r="W16" s="33" t="n">
        <f aca="false">$P16*Assumptions!$F$19</f>
        <v>0</v>
      </c>
      <c r="Z16" s="33" t="n">
        <f aca="false">$P16*Assumptions!$G$19</f>
        <v>345</v>
      </c>
    </row>
    <row r="17" customFormat="false" ht="15" hidden="false" customHeight="false" outlineLevel="0" collapsed="false">
      <c r="B17" s="4" t="s">
        <v>246</v>
      </c>
      <c r="C17" s="31" t="n">
        <f aca="false">Assumptions!$C$5*Assumptions!$C$8</f>
        <v>200</v>
      </c>
      <c r="F17" s="43"/>
      <c r="G17" s="34"/>
      <c r="H17" s="33" t="n">
        <f aca="false">$C17*Assumptions!$C$17</f>
        <v>200</v>
      </c>
      <c r="I17" s="33" t="n">
        <f aca="false">$C17*Assumptions!$D$17</f>
        <v>30</v>
      </c>
      <c r="J17" s="33" t="n">
        <f aca="false">$C17*Assumptions!$E$17</f>
        <v>10</v>
      </c>
      <c r="K17" s="33" t="n">
        <f aca="false">$C17*Assumptions!$F$17</f>
        <v>10</v>
      </c>
      <c r="M17" s="33" t="n">
        <f aca="false">$C17*Assumptions!$G$17</f>
        <v>250</v>
      </c>
      <c r="O17" s="4" t="s">
        <v>247</v>
      </c>
      <c r="P17" s="31" t="n">
        <f aca="false">Assumptions!$C$11*Assumptions!$C$10</f>
        <v>115</v>
      </c>
      <c r="S17" s="43"/>
      <c r="T17" s="34"/>
      <c r="U17" s="33" t="n">
        <f aca="false">$P17*Assumptions!$C$18</f>
        <v>115</v>
      </c>
      <c r="V17" s="33" t="n">
        <f aca="false">$P17*Assumptions!$D$18</f>
        <v>115</v>
      </c>
      <c r="W17" s="33" t="n">
        <f aca="false">$P17*Assumptions!$E$18</f>
        <v>0</v>
      </c>
      <c r="X17" s="33" t="n">
        <f aca="false">$P17*Assumptions!$F$18</f>
        <v>0</v>
      </c>
      <c r="Z17" s="33" t="n">
        <f aca="false">$P17*Assumptions!$G$18</f>
        <v>230</v>
      </c>
    </row>
    <row r="18" customFormat="false" ht="15" hidden="false" customHeight="false" outlineLevel="0" collapsed="false">
      <c r="B18" s="4" t="s">
        <v>248</v>
      </c>
      <c r="C18" s="31" t="n">
        <f aca="false">Assumptions!$C$5*Assumptions!$C$8</f>
        <v>200</v>
      </c>
      <c r="F18" s="43"/>
      <c r="G18" s="34"/>
      <c r="I18" s="33" t="n">
        <f aca="false">$C18*Assumptions!$C$17</f>
        <v>200</v>
      </c>
      <c r="J18" s="33" t="n">
        <f aca="false">$C18*Assumptions!$D$17</f>
        <v>30</v>
      </c>
      <c r="K18" s="33" t="n">
        <f aca="false">$C18*Assumptions!$E$17</f>
        <v>10</v>
      </c>
      <c r="L18" s="33" t="n">
        <f aca="false">$C18*Assumptions!$F$17</f>
        <v>10</v>
      </c>
      <c r="M18" s="33" t="n">
        <f aca="false">$C18*Assumptions!$G$17</f>
        <v>250</v>
      </c>
      <c r="O18" s="4" t="s">
        <v>249</v>
      </c>
      <c r="P18" s="31" t="n">
        <f aca="false">Assumptions!$C$11*Assumptions!$C$10</f>
        <v>115</v>
      </c>
      <c r="S18" s="43"/>
      <c r="T18" s="34"/>
      <c r="V18" s="33" t="n">
        <f aca="false">$P18*Assumptions!$C$18</f>
        <v>115</v>
      </c>
      <c r="W18" s="33" t="n">
        <f aca="false">$P18*Assumptions!$D$18</f>
        <v>115</v>
      </c>
      <c r="X18" s="33" t="n">
        <f aca="false">$P18*Assumptions!$E$18</f>
        <v>0</v>
      </c>
      <c r="Y18" s="33" t="n">
        <f aca="false">$P18*Assumptions!$F$18</f>
        <v>0</v>
      </c>
      <c r="Z18" s="33" t="n">
        <f aca="false">$P18*Assumptions!$G$18</f>
        <v>230</v>
      </c>
    </row>
    <row r="19" customFormat="false" ht="15" hidden="false" customHeight="false" outlineLevel="0" collapsed="false">
      <c r="B19" s="4" t="s">
        <v>250</v>
      </c>
      <c r="C19" s="31" t="n">
        <f aca="false">Assumptions!$C$5*Assumptions!$C$8</f>
        <v>200</v>
      </c>
      <c r="F19" s="43"/>
      <c r="G19" s="34"/>
      <c r="J19" s="33" t="n">
        <f aca="false">$C19*Assumptions!$C$17</f>
        <v>200</v>
      </c>
      <c r="K19" s="33" t="n">
        <f aca="false">$C19*Assumptions!$D$17</f>
        <v>30</v>
      </c>
      <c r="L19" s="33" t="n">
        <f aca="false">$C19*Assumptions!$E$17</f>
        <v>10</v>
      </c>
      <c r="M19" s="33" t="n">
        <f aca="false">$C19*Assumptions!$G$17</f>
        <v>250</v>
      </c>
      <c r="O19" s="4" t="s">
        <v>251</v>
      </c>
      <c r="P19" s="31" t="n">
        <f aca="false">Assumptions!$C$11*Assumptions!$C$10</f>
        <v>115</v>
      </c>
      <c r="S19" s="43"/>
      <c r="T19" s="34"/>
      <c r="W19" s="33" t="n">
        <f aca="false">$P19*Assumptions!$C$18</f>
        <v>115</v>
      </c>
      <c r="X19" s="33" t="n">
        <f aca="false">$P19*Assumptions!$D$18</f>
        <v>115</v>
      </c>
      <c r="Y19" s="33" t="n">
        <f aca="false">$P19*Assumptions!$E$18</f>
        <v>0</v>
      </c>
      <c r="Z19" s="33" t="n">
        <f aca="false">$P19*Assumptions!$G$18</f>
        <v>230</v>
      </c>
    </row>
    <row r="20" customFormat="false" ht="15" hidden="false" customHeight="false" outlineLevel="0" collapsed="false">
      <c r="B20" s="4" t="s">
        <v>252</v>
      </c>
      <c r="C20" s="31" t="n">
        <f aca="false">Assumptions!$C$5*Assumptions!$C$8</f>
        <v>200</v>
      </c>
      <c r="F20" s="43"/>
      <c r="G20" s="34"/>
      <c r="K20" s="33" t="n">
        <f aca="false">$C20*Assumptions!$C$17</f>
        <v>200</v>
      </c>
      <c r="L20" s="33" t="n">
        <f aca="false">$C20*Assumptions!$D$17</f>
        <v>30</v>
      </c>
      <c r="M20" s="33" t="n">
        <f aca="false">$C20*Assumptions!$G$17</f>
        <v>250</v>
      </c>
      <c r="O20" s="4" t="s">
        <v>253</v>
      </c>
      <c r="P20" s="31" t="n">
        <f aca="false">Assumptions!$C$11*Assumptions!$C$10</f>
        <v>115</v>
      </c>
      <c r="S20" s="43"/>
      <c r="T20" s="34"/>
      <c r="X20" s="33" t="n">
        <f aca="false">$P20*Assumptions!$C$18</f>
        <v>115</v>
      </c>
      <c r="Y20" s="33" t="n">
        <f aca="false">$P20*Assumptions!$D$18</f>
        <v>115</v>
      </c>
      <c r="Z20" s="33" t="n">
        <f aca="false">$P20*Assumptions!$G$18</f>
        <v>230</v>
      </c>
    </row>
    <row r="21" customFormat="false" ht="15" hidden="false" customHeight="false" outlineLevel="0" collapsed="false">
      <c r="B21" s="4" t="s">
        <v>254</v>
      </c>
      <c r="C21" s="31" t="n">
        <f aca="false">Assumptions!$C$5*Assumptions!$C$8</f>
        <v>200</v>
      </c>
      <c r="F21" s="43"/>
      <c r="G21" s="34"/>
      <c r="L21" s="33" t="n">
        <f aca="false">$C21*Assumptions!$C$17</f>
        <v>200</v>
      </c>
      <c r="M21" s="33" t="n">
        <f aca="false">$C21*Assumptions!$G$17</f>
        <v>250</v>
      </c>
      <c r="O21" s="4" t="s">
        <v>255</v>
      </c>
      <c r="P21" s="31" t="n">
        <f aca="false">Assumptions!$C$11*Assumptions!$C$10</f>
        <v>115</v>
      </c>
      <c r="S21" s="43"/>
      <c r="T21" s="34"/>
      <c r="Y21" s="33" t="n">
        <f aca="false">$P21*Assumptions!$C$18</f>
        <v>115</v>
      </c>
      <c r="Z21" s="33" t="n">
        <f aca="false">$P21*Assumptions!$G$18</f>
        <v>230</v>
      </c>
    </row>
    <row r="22" customFormat="false" ht="15" hidden="false" customHeight="false" outlineLevel="0" collapsed="false">
      <c r="B22" s="8" t="s">
        <v>203</v>
      </c>
      <c r="C22" s="8" t="s">
        <v>204</v>
      </c>
      <c r="D22" s="13" t="n">
        <f aca="false">D12+SUM(D13:D21)</f>
        <v>125</v>
      </c>
      <c r="E22" s="13" t="n">
        <f aca="false">E12+SUM(E13:E21)</f>
        <v>128.75</v>
      </c>
      <c r="F22" s="44" t="n">
        <f aca="false">F12+SUM(F13:F21)</f>
        <v>205</v>
      </c>
      <c r="G22" s="35" t="n">
        <f aca="false">G12+SUM(G13:G21)</f>
        <v>217.5</v>
      </c>
      <c r="H22" s="13" t="n">
        <f aca="false">H12+SUM(H13:H21)</f>
        <v>236.25</v>
      </c>
      <c r="I22" s="13" t="n">
        <f aca="false">I12+SUM(I13:I21)</f>
        <v>245</v>
      </c>
      <c r="J22" s="13" t="n">
        <f aca="false">J12+SUM(J13:J21)</f>
        <v>250</v>
      </c>
      <c r="K22" s="13" t="n">
        <f aca="false">K12+SUM(K13:K21)</f>
        <v>250</v>
      </c>
      <c r="L22" s="13" t="n">
        <f aca="false">L12+SUM(L13:L21)</f>
        <v>250</v>
      </c>
      <c r="M22" s="13" t="n">
        <f aca="false">SUM(M13:M21)</f>
        <v>1687.5</v>
      </c>
      <c r="O22" s="8" t="s">
        <v>203</v>
      </c>
      <c r="P22" s="8" t="s">
        <v>204</v>
      </c>
      <c r="Q22" s="13" t="n">
        <f aca="false">Q12+SUM(Q13:Q21)</f>
        <v>125</v>
      </c>
      <c r="R22" s="13" t="n">
        <f aca="false">R12+SUM(R13:R21)</f>
        <v>125</v>
      </c>
      <c r="S22" s="44" t="n">
        <f aca="false">S12+SUM(S13:S21)</f>
        <v>230</v>
      </c>
      <c r="T22" s="35" t="n">
        <f aca="false">T12+SUM(T13:T21)</f>
        <v>230</v>
      </c>
      <c r="U22" s="13" t="n">
        <f aca="false">U12+SUM(U13:U21)</f>
        <v>230</v>
      </c>
      <c r="V22" s="13" t="n">
        <f aca="false">V12+SUM(V13:V21)</f>
        <v>230</v>
      </c>
      <c r="W22" s="13" t="n">
        <f aca="false">W12+SUM(W13:W21)</f>
        <v>230</v>
      </c>
      <c r="X22" s="13" t="n">
        <f aca="false">X12+SUM(X13:X21)</f>
        <v>230</v>
      </c>
      <c r="Y22" s="13" t="n">
        <f aca="false">Y12+SUM(Y13:Y21)</f>
        <v>230</v>
      </c>
      <c r="Z22" s="13" t="n">
        <f aca="false">SUM(Z13:Z21)</f>
        <v>1675</v>
      </c>
    </row>
    <row r="23" customFormat="false" ht="15" hidden="false" customHeight="false" outlineLevel="0" collapsed="false">
      <c r="B23" s="2" t="s">
        <v>205</v>
      </c>
      <c r="D23" s="37" t="n">
        <f aca="false">D22/D11</f>
        <v>1</v>
      </c>
      <c r="E23" s="37" t="n">
        <f aca="false">E22/E11</f>
        <v>1.03</v>
      </c>
      <c r="F23" s="45" t="n">
        <f aca="false">F22/F11</f>
        <v>1.025</v>
      </c>
      <c r="G23" s="36" t="n">
        <f aca="false">G22/G11</f>
        <v>1.0875</v>
      </c>
      <c r="H23" s="37" t="n">
        <f aca="false">H22/H11</f>
        <v>1.89</v>
      </c>
      <c r="I23" s="37" t="n">
        <f aca="false">I22/I11</f>
        <v>1.96</v>
      </c>
      <c r="J23" s="37" t="n">
        <f aca="false">J22/J11</f>
        <v>2</v>
      </c>
      <c r="K23" s="37" t="n">
        <f aca="false">K22/K11</f>
        <v>2</v>
      </c>
      <c r="L23" s="37" t="n">
        <f aca="false">L22/L11</f>
        <v>2</v>
      </c>
      <c r="O23" s="2" t="s">
        <v>205</v>
      </c>
      <c r="Q23" s="37" t="n">
        <f aca="false">Q22/Q11</f>
        <v>1</v>
      </c>
      <c r="R23" s="37" t="n">
        <f aca="false">R22/R11</f>
        <v>1</v>
      </c>
      <c r="S23" s="45" t="n">
        <f aca="false">S22/S11</f>
        <v>1</v>
      </c>
      <c r="T23" s="36" t="n">
        <f aca="false">T22/T11</f>
        <v>1</v>
      </c>
      <c r="U23" s="37" t="n">
        <f aca="false">U22/U11</f>
        <v>1.84</v>
      </c>
      <c r="V23" s="37" t="n">
        <f aca="false">V22/V11</f>
        <v>1.84</v>
      </c>
      <c r="W23" s="37" t="n">
        <f aca="false">W22/W11</f>
        <v>1.84</v>
      </c>
      <c r="X23" s="37" t="n">
        <f aca="false">X22/X11</f>
        <v>1.84</v>
      </c>
      <c r="Y23" s="37" t="n">
        <f aca="false">Y22/Y11</f>
        <v>1.84</v>
      </c>
    </row>
    <row r="24" customFormat="false" ht="15" hidden="false" customHeight="false" outlineLevel="0" collapsed="false">
      <c r="B24" s="2" t="s">
        <v>206</v>
      </c>
      <c r="D24" s="39" t="n">
        <f aca="false">D22-Assumptions!$C$5</f>
        <v>25</v>
      </c>
      <c r="E24" s="39" t="n">
        <f aca="false">E22-D22</f>
        <v>3.75</v>
      </c>
      <c r="F24" s="46" t="n">
        <f aca="false">F22-E22</f>
        <v>76.25</v>
      </c>
      <c r="G24" s="38" t="n">
        <f aca="false">G22-F22</f>
        <v>12.5</v>
      </c>
      <c r="H24" s="39" t="n">
        <f aca="false">H22-G22</f>
        <v>18.75</v>
      </c>
      <c r="I24" s="39" t="n">
        <f aca="false">I22-H22</f>
        <v>8.75</v>
      </c>
      <c r="J24" s="39" t="n">
        <f aca="false">J22-I22</f>
        <v>5</v>
      </c>
      <c r="K24" s="39" t="n">
        <f aca="false">K22-J22</f>
        <v>0</v>
      </c>
      <c r="L24" s="39" t="n">
        <f aca="false">L22-K22</f>
        <v>0</v>
      </c>
      <c r="O24" s="2" t="s">
        <v>206</v>
      </c>
      <c r="Q24" s="39" t="n">
        <f aca="false">Q22-Assumptions!$C$5</f>
        <v>25</v>
      </c>
      <c r="R24" s="39" t="n">
        <f aca="false">R22-Q22</f>
        <v>0</v>
      </c>
      <c r="S24" s="46" t="n">
        <f aca="false">S22-R22</f>
        <v>105</v>
      </c>
      <c r="T24" s="38" t="n">
        <f aca="false">T22-S22</f>
        <v>0</v>
      </c>
      <c r="U24" s="39" t="n">
        <f aca="false">U22-T22</f>
        <v>0</v>
      </c>
      <c r="V24" s="39" t="n">
        <f aca="false">V22-U22</f>
        <v>0</v>
      </c>
      <c r="W24" s="39" t="n">
        <f aca="false">W22-V22</f>
        <v>0</v>
      </c>
      <c r="X24" s="39" t="n">
        <f aca="false">X22-W22</f>
        <v>0</v>
      </c>
      <c r="Y24" s="39" t="n">
        <f aca="false">Y22-X22</f>
        <v>0</v>
      </c>
    </row>
    <row r="25" customFormat="false" ht="15" hidden="false" customHeight="false" outlineLevel="0" collapsed="false">
      <c r="F25" s="43"/>
      <c r="G25" s="34"/>
      <c r="S25" s="43"/>
      <c r="T25" s="34"/>
    </row>
    <row r="28" customFormat="false" ht="15" hidden="false" customHeight="false" outlineLevel="0" collapsed="false">
      <c r="B28" s="3" t="s">
        <v>222</v>
      </c>
    </row>
    <row r="29" customFormat="false" ht="15" hidden="false" customHeight="false" outlineLevel="0" collapsed="false">
      <c r="B29" s="5" t="s">
        <v>180</v>
      </c>
      <c r="C29" s="7" t="s">
        <v>181</v>
      </c>
      <c r="D29" s="7" t="s">
        <v>91</v>
      </c>
      <c r="E29" s="7" t="s">
        <v>92</v>
      </c>
      <c r="F29" s="7" t="s">
        <v>93</v>
      </c>
      <c r="G29" s="7" t="s">
        <v>94</v>
      </c>
      <c r="H29" s="7" t="s">
        <v>95</v>
      </c>
      <c r="I29" s="7" t="s">
        <v>96</v>
      </c>
      <c r="J29" s="7" t="s">
        <v>97</v>
      </c>
      <c r="K29" s="7" t="s">
        <v>98</v>
      </c>
      <c r="L29" s="7" t="s">
        <v>99</v>
      </c>
      <c r="M29" s="7" t="s">
        <v>100</v>
      </c>
      <c r="O29" s="25" t="s">
        <v>182</v>
      </c>
      <c r="P29" s="26" t="s">
        <v>181</v>
      </c>
      <c r="Q29" s="26" t="s">
        <v>91</v>
      </c>
      <c r="R29" s="26" t="s">
        <v>92</v>
      </c>
      <c r="S29" s="26" t="s">
        <v>93</v>
      </c>
      <c r="T29" s="26" t="s">
        <v>94</v>
      </c>
      <c r="U29" s="26" t="s">
        <v>95</v>
      </c>
      <c r="V29" s="26" t="s">
        <v>96</v>
      </c>
      <c r="W29" s="26" t="s">
        <v>97</v>
      </c>
      <c r="X29" s="26" t="s">
        <v>98</v>
      </c>
      <c r="Y29" s="26" t="s">
        <v>99</v>
      </c>
      <c r="Z29" s="26" t="s">
        <v>100</v>
      </c>
    </row>
    <row r="30" customFormat="false" ht="15" hidden="false" customHeight="false" outlineLevel="0" collapsed="false">
      <c r="B30" s="2" t="s">
        <v>183</v>
      </c>
      <c r="D30" s="28" t="n">
        <f aca="false">Assumptions!$C$5*Assumptions!$C$6</f>
        <v>125</v>
      </c>
      <c r="E30" s="28" t="n">
        <f aca="false">Assumptions!$C$5*Assumptions!$C$6</f>
        <v>125</v>
      </c>
      <c r="F30" s="40" t="n">
        <f aca="false">Assumptions!$C$5*Assumptions!$C$8</f>
        <v>200</v>
      </c>
      <c r="G30" s="27" t="n">
        <f aca="false">Assumptions!$C$5*Assumptions!$C$8</f>
        <v>200</v>
      </c>
      <c r="H30" s="28" t="n">
        <f aca="false">Assumptions!$C$5*Assumptions!$C$6</f>
        <v>125</v>
      </c>
      <c r="I30" s="28" t="n">
        <f aca="false">Assumptions!$C$5*Assumptions!$C$6</f>
        <v>125</v>
      </c>
      <c r="J30" s="28" t="n">
        <f aca="false">Assumptions!$C$5*Assumptions!$C$6</f>
        <v>125</v>
      </c>
      <c r="K30" s="28" t="n">
        <f aca="false">Assumptions!$C$5*Assumptions!$C$6</f>
        <v>125</v>
      </c>
      <c r="L30" s="28" t="n">
        <f aca="false">Assumptions!$C$5*Assumptions!$C$6</f>
        <v>125</v>
      </c>
      <c r="O30" s="2" t="s">
        <v>183</v>
      </c>
      <c r="Q30" s="28" t="n">
        <f aca="false">Assumptions!$C$5*Assumptions!$C$6</f>
        <v>125</v>
      </c>
      <c r="R30" s="28" t="n">
        <f aca="false">Assumptions!$C$5*Assumptions!$C$6</f>
        <v>125</v>
      </c>
      <c r="S30" s="40" t="n">
        <f aca="false">Assumptions!$C$10</f>
        <v>230</v>
      </c>
      <c r="T30" s="27" t="n">
        <f aca="false">Assumptions!$C$10</f>
        <v>230</v>
      </c>
      <c r="U30" s="28" t="n">
        <f aca="false">Assumptions!$C$5*Assumptions!$C$6</f>
        <v>125</v>
      </c>
      <c r="V30" s="28" t="n">
        <f aca="false">Assumptions!$C$5*Assumptions!$C$6</f>
        <v>125</v>
      </c>
      <c r="W30" s="28" t="n">
        <f aca="false">Assumptions!$C$5*Assumptions!$C$6</f>
        <v>125</v>
      </c>
      <c r="X30" s="28" t="n">
        <f aca="false">Assumptions!$C$5*Assumptions!$C$6</f>
        <v>125</v>
      </c>
      <c r="Y30" s="28" t="n">
        <f aca="false">Assumptions!$C$5*Assumptions!$C$6</f>
        <v>125</v>
      </c>
    </row>
    <row r="31" customFormat="false" ht="15" hidden="false" customHeight="false" outlineLevel="0" collapsed="false">
      <c r="B31" s="4" t="s">
        <v>184</v>
      </c>
      <c r="D31" s="30" t="n">
        <v>100</v>
      </c>
      <c r="E31" s="30" t="n">
        <v>100</v>
      </c>
      <c r="F31" s="41" t="n">
        <v>100</v>
      </c>
      <c r="G31" s="29" t="n">
        <v>25</v>
      </c>
      <c r="H31" s="30" t="n">
        <v>0</v>
      </c>
      <c r="I31" s="30" t="n">
        <v>0</v>
      </c>
      <c r="J31" s="30" t="n">
        <v>0</v>
      </c>
      <c r="K31" s="30" t="n">
        <v>0</v>
      </c>
      <c r="L31" s="30" t="n">
        <v>0</v>
      </c>
      <c r="O31" s="4" t="s">
        <v>184</v>
      </c>
      <c r="Q31" s="30" t="n">
        <v>100</v>
      </c>
      <c r="R31" s="30" t="n">
        <v>100</v>
      </c>
      <c r="S31" s="41" t="n">
        <v>100</v>
      </c>
      <c r="T31" s="29" t="n">
        <v>25</v>
      </c>
      <c r="U31" s="30" t="n">
        <v>0</v>
      </c>
      <c r="V31" s="30" t="n">
        <v>0</v>
      </c>
      <c r="W31" s="30" t="n">
        <v>0</v>
      </c>
      <c r="X31" s="30" t="n">
        <v>0</v>
      </c>
      <c r="Y31" s="30" t="n">
        <v>0</v>
      </c>
    </row>
    <row r="32" customFormat="false" ht="15" hidden="false" customHeight="false" outlineLevel="0" collapsed="false">
      <c r="B32" s="4" t="s">
        <v>208</v>
      </c>
      <c r="C32" s="31" t="n">
        <f aca="false">MAX(Assumptions!$C$5*Assumptions!$C$12,D30-(D31))</f>
        <v>25</v>
      </c>
      <c r="D32" s="33" t="n">
        <f aca="false">$C32*Assumptions!$C$23</f>
        <v>25</v>
      </c>
      <c r="E32" s="33" t="n">
        <f aca="false">$C32*Assumptions!$D$23</f>
        <v>3.75</v>
      </c>
      <c r="F32" s="42" t="n">
        <f aca="false">$C32*Assumptions!$E$23</f>
        <v>1.25</v>
      </c>
      <c r="G32" s="32" t="n">
        <f aca="false">$C32*Assumptions!$F$23</f>
        <v>1.25</v>
      </c>
      <c r="M32" s="33" t="n">
        <f aca="false">$C32*Assumptions!$G$23</f>
        <v>31.25</v>
      </c>
      <c r="O32" s="4" t="s">
        <v>209</v>
      </c>
      <c r="P32" s="31" t="n">
        <f aca="false">MAX(Assumptions!$C$5*Assumptions!$C$12,Q30-(Q31))</f>
        <v>25</v>
      </c>
      <c r="Q32" s="33" t="n">
        <f aca="false">$P32*Assumptions!$C$21</f>
        <v>25</v>
      </c>
      <c r="R32" s="33" t="n">
        <f aca="false">$P32*Assumptions!$D$21</f>
        <v>0</v>
      </c>
      <c r="S32" s="42" t="n">
        <f aca="false">$P32*Assumptions!$E$21</f>
        <v>0</v>
      </c>
      <c r="T32" s="32" t="n">
        <f aca="false">$P32*Assumptions!$F$21</f>
        <v>0</v>
      </c>
      <c r="Z32" s="33" t="n">
        <f aca="false">$P32*Assumptions!$G$21</f>
        <v>25</v>
      </c>
    </row>
    <row r="33" customFormat="false" ht="15" hidden="false" customHeight="false" outlineLevel="0" collapsed="false">
      <c r="B33" s="4" t="s">
        <v>210</v>
      </c>
      <c r="C33" s="31" t="n">
        <f aca="false">MAX(Assumptions!$C$5*Assumptions!$C$12,E30-(E31))</f>
        <v>25</v>
      </c>
      <c r="E33" s="33" t="n">
        <f aca="false">$C33*Assumptions!$C$23</f>
        <v>25</v>
      </c>
      <c r="F33" s="42" t="n">
        <f aca="false">$C33*Assumptions!$D$23</f>
        <v>3.75</v>
      </c>
      <c r="G33" s="32" t="n">
        <f aca="false">$C33*Assumptions!$E$23</f>
        <v>1.25</v>
      </c>
      <c r="H33" s="33" t="n">
        <f aca="false">$C33*Assumptions!$F$23</f>
        <v>1.25</v>
      </c>
      <c r="M33" s="33" t="n">
        <f aca="false">$C33*Assumptions!$G$23</f>
        <v>31.25</v>
      </c>
      <c r="O33" s="4" t="s">
        <v>211</v>
      </c>
      <c r="P33" s="31" t="n">
        <f aca="false">MAX(Assumptions!$C$5*Assumptions!$C$12,R30-(R31))</f>
        <v>25</v>
      </c>
      <c r="R33" s="33" t="n">
        <f aca="false">$P33*Assumptions!$C$21</f>
        <v>25</v>
      </c>
      <c r="S33" s="42" t="n">
        <f aca="false">$P33*Assumptions!$D$21</f>
        <v>0</v>
      </c>
      <c r="T33" s="32" t="n">
        <f aca="false">$P33*Assumptions!$E$21</f>
        <v>0</v>
      </c>
      <c r="U33" s="33" t="n">
        <f aca="false">$P33*Assumptions!$F$21</f>
        <v>0</v>
      </c>
      <c r="Z33" s="33" t="n">
        <f aca="false">$P33*Assumptions!$G$21</f>
        <v>25</v>
      </c>
    </row>
    <row r="34" customFormat="false" ht="15" hidden="false" customHeight="false" outlineLevel="0" collapsed="false">
      <c r="B34" s="4" t="s">
        <v>269</v>
      </c>
      <c r="C34" s="31" t="n">
        <f aca="false">MAX(Assumptions!$C$5*Assumptions!$C$12,F30-(F31))</f>
        <v>100</v>
      </c>
      <c r="F34" s="42" t="n">
        <f aca="false">$C34*Assumptions!$C$23</f>
        <v>100</v>
      </c>
      <c r="G34" s="32" t="n">
        <f aca="false">$C34*Assumptions!$D$23</f>
        <v>15</v>
      </c>
      <c r="H34" s="33" t="n">
        <f aca="false">$C34*Assumptions!$E$23</f>
        <v>5</v>
      </c>
      <c r="I34" s="33" t="n">
        <f aca="false">$C34*Assumptions!$F$23</f>
        <v>5</v>
      </c>
      <c r="M34" s="33" t="n">
        <f aca="false">$C34*Assumptions!$G$23</f>
        <v>125</v>
      </c>
      <c r="O34" s="4" t="s">
        <v>243</v>
      </c>
      <c r="P34" s="31" t="n">
        <f aca="false">MAX(Assumptions!$C$5*Assumptions!$C$12,S30-(S31))</f>
        <v>130</v>
      </c>
      <c r="S34" s="42" t="n">
        <f aca="false">$P34*Assumptions!$C$21</f>
        <v>130</v>
      </c>
      <c r="T34" s="32" t="n">
        <f aca="false">$P34*Assumptions!$D$21</f>
        <v>0</v>
      </c>
      <c r="U34" s="33" t="n">
        <f aca="false">$P34*Assumptions!$E$21</f>
        <v>0</v>
      </c>
      <c r="V34" s="33" t="n">
        <f aca="false">$P34*Assumptions!$F$21</f>
        <v>0</v>
      </c>
      <c r="Z34" s="33" t="n">
        <f aca="false">$P34*Assumptions!$G$21</f>
        <v>130</v>
      </c>
    </row>
    <row r="35" customFormat="false" ht="15" hidden="false" customHeight="false" outlineLevel="0" collapsed="false">
      <c r="B35" s="4" t="s">
        <v>270</v>
      </c>
      <c r="C35" s="31" t="n">
        <f aca="false">MAX(Assumptions!$C$5*Assumptions!$C$12,G30-(G31))</f>
        <v>175</v>
      </c>
      <c r="F35" s="43"/>
      <c r="G35" s="32" t="n">
        <f aca="false">$C35*Assumptions!$C$17</f>
        <v>175</v>
      </c>
      <c r="H35" s="33" t="n">
        <f aca="false">$C35*Assumptions!$D$17</f>
        <v>26.25</v>
      </c>
      <c r="I35" s="33" t="n">
        <f aca="false">$C35*Assumptions!$E$17</f>
        <v>8.75</v>
      </c>
      <c r="J35" s="33" t="n">
        <f aca="false">$C35*Assumptions!$F$17</f>
        <v>8.75</v>
      </c>
      <c r="M35" s="33" t="n">
        <f aca="false">$C35*Assumptions!$G$17</f>
        <v>218.75</v>
      </c>
      <c r="O35" s="4" t="s">
        <v>223</v>
      </c>
      <c r="P35" s="31" t="n">
        <f aca="false">T30-(T31+$P36)</f>
        <v>90</v>
      </c>
      <c r="S35" s="43"/>
      <c r="T35" s="32" t="n">
        <f aca="false">$P35*Assumptions!$C$21</f>
        <v>90</v>
      </c>
      <c r="U35" s="33" t="n">
        <f aca="false">$P35*Assumptions!$D$21</f>
        <v>0</v>
      </c>
      <c r="V35" s="33" t="n">
        <f aca="false">$P35*Assumptions!$E$21</f>
        <v>0</v>
      </c>
      <c r="W35" s="33" t="n">
        <f aca="false">$P35*Assumptions!$F$21</f>
        <v>0</v>
      </c>
      <c r="Z35" s="33" t="n">
        <f aca="false">$P35*Assumptions!$G$21</f>
        <v>90</v>
      </c>
    </row>
    <row r="36" customFormat="false" ht="15" hidden="false" customHeight="false" outlineLevel="0" collapsed="false">
      <c r="B36" s="4" t="s">
        <v>246</v>
      </c>
      <c r="C36" s="31" t="n">
        <f aca="false">Assumptions!$C$5*Assumptions!$C$8</f>
        <v>200</v>
      </c>
      <c r="F36" s="43"/>
      <c r="G36" s="34"/>
      <c r="H36" s="33" t="n">
        <f aca="false">$C36*Assumptions!$C$17</f>
        <v>200</v>
      </c>
      <c r="I36" s="33" t="n">
        <f aca="false">$C36*Assumptions!$D$17</f>
        <v>30</v>
      </c>
      <c r="J36" s="33" t="n">
        <f aca="false">$C36*Assumptions!$E$17</f>
        <v>10</v>
      </c>
      <c r="K36" s="33" t="n">
        <f aca="false">$C36*Assumptions!$F$17</f>
        <v>10</v>
      </c>
      <c r="M36" s="33" t="n">
        <f aca="false">$C36*Assumptions!$G$17</f>
        <v>250</v>
      </c>
      <c r="O36" s="4" t="s">
        <v>224</v>
      </c>
      <c r="P36" s="31" t="n">
        <f aca="false">Assumptions!$C$11*Assumptions!$C$10</f>
        <v>115</v>
      </c>
      <c r="S36" s="43"/>
      <c r="T36" s="32" t="n">
        <f aca="false">$P36*Assumptions!$C$18</f>
        <v>115</v>
      </c>
      <c r="U36" s="33" t="n">
        <f aca="false">$P36*Assumptions!$D$18</f>
        <v>115</v>
      </c>
      <c r="V36" s="33" t="n">
        <f aca="false">$P36*Assumptions!$E$18</f>
        <v>0</v>
      </c>
      <c r="W36" s="33" t="n">
        <f aca="false">$P36*Assumptions!$F$18</f>
        <v>0</v>
      </c>
      <c r="Z36" s="33" t="n">
        <f aca="false">$P36*Assumptions!$G$18</f>
        <v>230</v>
      </c>
    </row>
    <row r="37" customFormat="false" ht="15" hidden="false" customHeight="false" outlineLevel="0" collapsed="false">
      <c r="B37" s="4" t="s">
        <v>248</v>
      </c>
      <c r="C37" s="31" t="n">
        <f aca="false">Assumptions!$C$5*Assumptions!$C$8</f>
        <v>200</v>
      </c>
      <c r="F37" s="43"/>
      <c r="G37" s="34"/>
      <c r="I37" s="33" t="n">
        <f aca="false">$C37*Assumptions!$C$17</f>
        <v>200</v>
      </c>
      <c r="J37" s="33" t="n">
        <f aca="false">$C37*Assumptions!$D$17</f>
        <v>30</v>
      </c>
      <c r="K37" s="33" t="n">
        <f aca="false">$C37*Assumptions!$E$17</f>
        <v>10</v>
      </c>
      <c r="L37" s="33" t="n">
        <f aca="false">$C37*Assumptions!$F$17</f>
        <v>10</v>
      </c>
      <c r="M37" s="33" t="n">
        <f aca="false">$C37*Assumptions!$G$17</f>
        <v>250</v>
      </c>
      <c r="O37" s="4" t="s">
        <v>247</v>
      </c>
      <c r="P37" s="31" t="n">
        <f aca="false">Assumptions!$C$11*Assumptions!$C$10</f>
        <v>115</v>
      </c>
      <c r="S37" s="43"/>
      <c r="T37" s="34"/>
      <c r="U37" s="33" t="n">
        <f aca="false">$P37*Assumptions!$C$18</f>
        <v>115</v>
      </c>
      <c r="V37" s="33" t="n">
        <f aca="false">$P37*Assumptions!$D$18</f>
        <v>115</v>
      </c>
      <c r="W37" s="33" t="n">
        <f aca="false">$P37*Assumptions!$E$18</f>
        <v>0</v>
      </c>
      <c r="X37" s="33" t="n">
        <f aca="false">$P37*Assumptions!$F$18</f>
        <v>0</v>
      </c>
      <c r="Z37" s="33" t="n">
        <f aca="false">$P37*Assumptions!$G$18</f>
        <v>230</v>
      </c>
    </row>
    <row r="38" customFormat="false" ht="15" hidden="false" customHeight="false" outlineLevel="0" collapsed="false">
      <c r="B38" s="4" t="s">
        <v>250</v>
      </c>
      <c r="C38" s="31" t="n">
        <f aca="false">Assumptions!$C$5*Assumptions!$C$8</f>
        <v>200</v>
      </c>
      <c r="F38" s="43"/>
      <c r="G38" s="34"/>
      <c r="J38" s="33" t="n">
        <f aca="false">$C38*Assumptions!$C$17</f>
        <v>200</v>
      </c>
      <c r="K38" s="33" t="n">
        <f aca="false">$C38*Assumptions!$D$17</f>
        <v>30</v>
      </c>
      <c r="L38" s="33" t="n">
        <f aca="false">$C38*Assumptions!$E$17</f>
        <v>10</v>
      </c>
      <c r="M38" s="33" t="n">
        <f aca="false">$C38*Assumptions!$G$17</f>
        <v>250</v>
      </c>
      <c r="O38" s="4" t="s">
        <v>249</v>
      </c>
      <c r="P38" s="31" t="n">
        <f aca="false">Assumptions!$C$11*Assumptions!$C$10</f>
        <v>115</v>
      </c>
      <c r="S38" s="43"/>
      <c r="T38" s="34"/>
      <c r="V38" s="33" t="n">
        <f aca="false">$P38*Assumptions!$C$18</f>
        <v>115</v>
      </c>
      <c r="W38" s="33" t="n">
        <f aca="false">$P38*Assumptions!$D$18</f>
        <v>115</v>
      </c>
      <c r="X38" s="33" t="n">
        <f aca="false">$P38*Assumptions!$E$18</f>
        <v>0</v>
      </c>
      <c r="Y38" s="33" t="n">
        <f aca="false">$P38*Assumptions!$F$18</f>
        <v>0</v>
      </c>
      <c r="Z38" s="33" t="n">
        <f aca="false">$P38*Assumptions!$G$18</f>
        <v>230</v>
      </c>
    </row>
    <row r="39" customFormat="false" ht="15" hidden="false" customHeight="false" outlineLevel="0" collapsed="false">
      <c r="B39" s="4" t="s">
        <v>252</v>
      </c>
      <c r="C39" s="31" t="n">
        <f aca="false">Assumptions!$C$5*Assumptions!$C$8</f>
        <v>200</v>
      </c>
      <c r="F39" s="43"/>
      <c r="G39" s="34"/>
      <c r="K39" s="33" t="n">
        <f aca="false">$C39*Assumptions!$C$17</f>
        <v>200</v>
      </c>
      <c r="L39" s="33" t="n">
        <f aca="false">$C39*Assumptions!$D$17</f>
        <v>30</v>
      </c>
      <c r="M39" s="33" t="n">
        <f aca="false">$C39*Assumptions!$G$17</f>
        <v>250</v>
      </c>
      <c r="O39" s="4" t="s">
        <v>251</v>
      </c>
      <c r="P39" s="31" t="n">
        <f aca="false">Assumptions!$C$11*Assumptions!$C$10</f>
        <v>115</v>
      </c>
      <c r="S39" s="43"/>
      <c r="T39" s="34"/>
      <c r="W39" s="33" t="n">
        <f aca="false">$P39*Assumptions!$C$18</f>
        <v>115</v>
      </c>
      <c r="X39" s="33" t="n">
        <f aca="false">$P39*Assumptions!$D$18</f>
        <v>115</v>
      </c>
      <c r="Y39" s="33" t="n">
        <f aca="false">$P39*Assumptions!$E$18</f>
        <v>0</v>
      </c>
      <c r="Z39" s="33" t="n">
        <f aca="false">$P39*Assumptions!$G$18</f>
        <v>230</v>
      </c>
    </row>
    <row r="40" customFormat="false" ht="15" hidden="false" customHeight="false" outlineLevel="0" collapsed="false">
      <c r="B40" s="4" t="s">
        <v>254</v>
      </c>
      <c r="C40" s="31" t="n">
        <f aca="false">Assumptions!$C$5*Assumptions!$C$8</f>
        <v>200</v>
      </c>
      <c r="F40" s="43"/>
      <c r="G40" s="34"/>
      <c r="L40" s="33" t="n">
        <f aca="false">$C40*Assumptions!$C$17</f>
        <v>200</v>
      </c>
      <c r="M40" s="33" t="n">
        <f aca="false">$C40*Assumptions!$G$17</f>
        <v>250</v>
      </c>
      <c r="O40" s="4" t="s">
        <v>253</v>
      </c>
      <c r="P40" s="31" t="n">
        <f aca="false">Assumptions!$C$11*Assumptions!$C$10</f>
        <v>115</v>
      </c>
      <c r="S40" s="43"/>
      <c r="T40" s="34"/>
      <c r="X40" s="33" t="n">
        <f aca="false">$P40*Assumptions!$C$18</f>
        <v>115</v>
      </c>
      <c r="Y40" s="33" t="n">
        <f aca="false">$P40*Assumptions!$D$18</f>
        <v>115</v>
      </c>
      <c r="Z40" s="33" t="n">
        <f aca="false">$P40*Assumptions!$G$18</f>
        <v>230</v>
      </c>
    </row>
    <row r="41" customFormat="false" ht="15" hidden="false" customHeight="false" outlineLevel="0" collapsed="false">
      <c r="B41" s="8" t="s">
        <v>203</v>
      </c>
      <c r="C41" s="8" t="s">
        <v>204</v>
      </c>
      <c r="D41" s="13" t="n">
        <f aca="false">D31+SUM(D32:D40)</f>
        <v>125</v>
      </c>
      <c r="E41" s="13" t="n">
        <f aca="false">E31+SUM(E32:E40)</f>
        <v>128.75</v>
      </c>
      <c r="F41" s="44" t="n">
        <f aca="false">F31+SUM(F32:F40)</f>
        <v>205</v>
      </c>
      <c r="G41" s="35" t="n">
        <f aca="false">G31+SUM(G32:G40)</f>
        <v>217.5</v>
      </c>
      <c r="H41" s="13" t="n">
        <f aca="false">H31+SUM(H32:H40)</f>
        <v>232.5</v>
      </c>
      <c r="I41" s="13" t="n">
        <f aca="false">I31+SUM(I32:I40)</f>
        <v>243.75</v>
      </c>
      <c r="J41" s="13" t="n">
        <f aca="false">J31+SUM(J32:J40)</f>
        <v>248.75</v>
      </c>
      <c r="K41" s="13" t="n">
        <f aca="false">K31+SUM(K32:K40)</f>
        <v>250</v>
      </c>
      <c r="L41" s="13" t="n">
        <f aca="false">L31+SUM(L32:L40)</f>
        <v>250</v>
      </c>
      <c r="M41" s="13" t="n">
        <f aca="false">SUM(M32:M40)</f>
        <v>1656.25</v>
      </c>
      <c r="O41" s="4" t="s">
        <v>255</v>
      </c>
      <c r="P41" s="31" t="n">
        <f aca="false">Assumptions!$C$11*Assumptions!$C$10</f>
        <v>115</v>
      </c>
      <c r="S41" s="43"/>
      <c r="T41" s="34"/>
      <c r="Y41" s="33" t="n">
        <f aca="false">$P41*Assumptions!$C$18</f>
        <v>115</v>
      </c>
      <c r="Z41" s="33" t="n">
        <f aca="false">$P41*Assumptions!$G$18</f>
        <v>230</v>
      </c>
    </row>
    <row r="42" customFormat="false" ht="15" hidden="false" customHeight="false" outlineLevel="0" collapsed="false">
      <c r="B42" s="2" t="s">
        <v>205</v>
      </c>
      <c r="D42" s="37" t="n">
        <f aca="false">D41/D30</f>
        <v>1</v>
      </c>
      <c r="E42" s="37" t="n">
        <f aca="false">E41/E30</f>
        <v>1.03</v>
      </c>
      <c r="F42" s="45" t="n">
        <f aca="false">F41/F30</f>
        <v>1.025</v>
      </c>
      <c r="G42" s="36" t="n">
        <f aca="false">G41/G30</f>
        <v>1.0875</v>
      </c>
      <c r="H42" s="37" t="n">
        <f aca="false">H41/H30</f>
        <v>1.86</v>
      </c>
      <c r="I42" s="37" t="n">
        <f aca="false">I41/I30</f>
        <v>1.95</v>
      </c>
      <c r="J42" s="37" t="n">
        <f aca="false">J41/J30</f>
        <v>1.99</v>
      </c>
      <c r="K42" s="37" t="n">
        <f aca="false">K41/K30</f>
        <v>2</v>
      </c>
      <c r="L42" s="37" t="n">
        <f aca="false">L41/L30</f>
        <v>2</v>
      </c>
      <c r="O42" s="8" t="s">
        <v>203</v>
      </c>
      <c r="P42" s="8" t="s">
        <v>204</v>
      </c>
      <c r="Q42" s="13" t="n">
        <f aca="false">Q31+SUM(Q32:Q41)</f>
        <v>125</v>
      </c>
      <c r="R42" s="13" t="n">
        <f aca="false">R31+SUM(R32:R41)</f>
        <v>125</v>
      </c>
      <c r="S42" s="44" t="n">
        <f aca="false">S31+SUM(S32:S41)</f>
        <v>230</v>
      </c>
      <c r="T42" s="35" t="n">
        <f aca="false">T31+SUM(T32:T41)</f>
        <v>230</v>
      </c>
      <c r="U42" s="13" t="n">
        <f aca="false">U31+SUM(U32:U41)</f>
        <v>230</v>
      </c>
      <c r="V42" s="13" t="n">
        <f aca="false">V31+SUM(V32:V41)</f>
        <v>230</v>
      </c>
      <c r="W42" s="13" t="n">
        <f aca="false">W31+SUM(W32:W41)</f>
        <v>230</v>
      </c>
      <c r="X42" s="13" t="n">
        <f aca="false">X31+SUM(X32:X41)</f>
        <v>230</v>
      </c>
      <c r="Y42" s="13" t="n">
        <f aca="false">Y31+SUM(Y32:Y41)</f>
        <v>230</v>
      </c>
      <c r="Z42" s="13" t="n">
        <f aca="false">SUM(Z32:Z41)</f>
        <v>1650</v>
      </c>
    </row>
    <row r="43" customFormat="false" ht="15" hidden="false" customHeight="false" outlineLevel="0" collapsed="false">
      <c r="B43" s="2" t="s">
        <v>206</v>
      </c>
      <c r="D43" s="39" t="n">
        <f aca="false">D41-Assumptions!$C$5</f>
        <v>25</v>
      </c>
      <c r="E43" s="39" t="n">
        <f aca="false">E41-D41</f>
        <v>3.75</v>
      </c>
      <c r="F43" s="46" t="n">
        <f aca="false">F41-E41</f>
        <v>76.25</v>
      </c>
      <c r="G43" s="38" t="n">
        <f aca="false">G41-F41</f>
        <v>12.5</v>
      </c>
      <c r="H43" s="39" t="n">
        <f aca="false">H41-G41</f>
        <v>15</v>
      </c>
      <c r="I43" s="39" t="n">
        <f aca="false">I41-H41</f>
        <v>11.25</v>
      </c>
      <c r="J43" s="39" t="n">
        <f aca="false">J41-I41</f>
        <v>5</v>
      </c>
      <c r="K43" s="39" t="n">
        <f aca="false">K41-J41</f>
        <v>1.25</v>
      </c>
      <c r="L43" s="39" t="n">
        <f aca="false">L41-K41</f>
        <v>0</v>
      </c>
      <c r="O43" s="2" t="s">
        <v>205</v>
      </c>
      <c r="Q43" s="37" t="n">
        <f aca="false">Q42/Q30</f>
        <v>1</v>
      </c>
      <c r="R43" s="37" t="n">
        <f aca="false">R42/R30</f>
        <v>1</v>
      </c>
      <c r="S43" s="45" t="n">
        <f aca="false">S42/S30</f>
        <v>1</v>
      </c>
      <c r="T43" s="36" t="n">
        <f aca="false">T42/T30</f>
        <v>1</v>
      </c>
      <c r="U43" s="37" t="n">
        <f aca="false">U42/U30</f>
        <v>1.84</v>
      </c>
      <c r="V43" s="37" t="n">
        <f aca="false">V42/V30</f>
        <v>1.84</v>
      </c>
      <c r="W43" s="37" t="n">
        <f aca="false">W42/W30</f>
        <v>1.84</v>
      </c>
      <c r="X43" s="37" t="n">
        <f aca="false">X42/X30</f>
        <v>1.84</v>
      </c>
      <c r="Y43" s="37" t="n">
        <f aca="false">Y42/Y30</f>
        <v>1.84</v>
      </c>
    </row>
    <row r="44" customFormat="false" ht="15" hidden="false" customHeight="false" outlineLevel="0" collapsed="false">
      <c r="F44" s="43"/>
      <c r="G44" s="34"/>
      <c r="O44" s="2" t="s">
        <v>206</v>
      </c>
      <c r="Q44" s="39" t="n">
        <f aca="false">Q42-Assumptions!$C$5</f>
        <v>25</v>
      </c>
      <c r="R44" s="39" t="n">
        <f aca="false">R42-Q42</f>
        <v>0</v>
      </c>
      <c r="S44" s="46" t="n">
        <f aca="false">S42-R42</f>
        <v>105</v>
      </c>
      <c r="T44" s="38" t="n">
        <f aca="false">T42-S42</f>
        <v>0</v>
      </c>
      <c r="U44" s="39" t="n">
        <f aca="false">U42-T42</f>
        <v>0</v>
      </c>
      <c r="V44" s="39" t="n">
        <f aca="false">V42-U42</f>
        <v>0</v>
      </c>
      <c r="W44" s="39" t="n">
        <f aca="false">W42-V42</f>
        <v>0</v>
      </c>
      <c r="X44" s="39" t="n">
        <f aca="false">X42-W42</f>
        <v>0</v>
      </c>
      <c r="Y44" s="39" t="n">
        <f aca="false">Y42-X42</f>
        <v>0</v>
      </c>
    </row>
    <row r="45" customFormat="false" ht="15" hidden="false" customHeight="false" outlineLevel="0" collapsed="false">
      <c r="S45" s="43"/>
      <c r="T45" s="34"/>
    </row>
    <row r="48" customFormat="false" ht="15" hidden="false" customHeight="false" outlineLevel="0" collapsed="false">
      <c r="B48" s="3" t="s">
        <v>225</v>
      </c>
    </row>
    <row r="49" customFormat="false" ht="15" hidden="false" customHeight="false" outlineLevel="0" collapsed="false">
      <c r="B49" s="5" t="s">
        <v>180</v>
      </c>
      <c r="C49" s="7" t="s">
        <v>181</v>
      </c>
      <c r="D49" s="7" t="s">
        <v>91</v>
      </c>
      <c r="E49" s="7" t="s">
        <v>92</v>
      </c>
      <c r="F49" s="7" t="s">
        <v>93</v>
      </c>
      <c r="G49" s="7" t="s">
        <v>94</v>
      </c>
      <c r="H49" s="7" t="s">
        <v>95</v>
      </c>
      <c r="I49" s="7" t="s">
        <v>96</v>
      </c>
      <c r="J49" s="7" t="s">
        <v>97</v>
      </c>
      <c r="K49" s="7" t="s">
        <v>98</v>
      </c>
      <c r="L49" s="7" t="s">
        <v>99</v>
      </c>
      <c r="M49" s="7" t="s">
        <v>100</v>
      </c>
      <c r="O49" s="25" t="s">
        <v>182</v>
      </c>
      <c r="P49" s="26" t="s">
        <v>181</v>
      </c>
      <c r="Q49" s="26" t="s">
        <v>91</v>
      </c>
      <c r="R49" s="26" t="s">
        <v>92</v>
      </c>
      <c r="S49" s="26" t="s">
        <v>93</v>
      </c>
      <c r="T49" s="26" t="s">
        <v>94</v>
      </c>
      <c r="U49" s="26" t="s">
        <v>95</v>
      </c>
      <c r="V49" s="26" t="s">
        <v>96</v>
      </c>
      <c r="W49" s="26" t="s">
        <v>97</v>
      </c>
      <c r="X49" s="26" t="s">
        <v>98</v>
      </c>
      <c r="Y49" s="26" t="s">
        <v>99</v>
      </c>
      <c r="Z49" s="26" t="s">
        <v>100</v>
      </c>
    </row>
    <row r="50" customFormat="false" ht="15" hidden="false" customHeight="false" outlineLevel="0" collapsed="false">
      <c r="B50" s="2" t="s">
        <v>183</v>
      </c>
      <c r="D50" s="28" t="n">
        <f aca="false">Assumptions!$C$5*Assumptions!$C$6</f>
        <v>125</v>
      </c>
      <c r="E50" s="28" t="n">
        <f aca="false">Assumptions!$C$5*Assumptions!$C$6</f>
        <v>125</v>
      </c>
      <c r="F50" s="40" t="n">
        <f aca="false">Assumptions!$C$5*Assumptions!$C$8</f>
        <v>200</v>
      </c>
      <c r="G50" s="27" t="n">
        <f aca="false">Assumptions!$C$5*Assumptions!$C$8</f>
        <v>200</v>
      </c>
      <c r="H50" s="28" t="n">
        <f aca="false">Assumptions!$C$5*Assumptions!$C$6</f>
        <v>125</v>
      </c>
      <c r="I50" s="28" t="n">
        <f aca="false">Assumptions!$C$5*Assumptions!$C$6</f>
        <v>125</v>
      </c>
      <c r="J50" s="28" t="n">
        <f aca="false">Assumptions!$C$5*Assumptions!$C$6</f>
        <v>125</v>
      </c>
      <c r="K50" s="28" t="n">
        <f aca="false">Assumptions!$C$5*Assumptions!$C$6</f>
        <v>125</v>
      </c>
      <c r="L50" s="28" t="n">
        <f aca="false">Assumptions!$C$5*Assumptions!$C$6</f>
        <v>125</v>
      </c>
      <c r="O50" s="2" t="s">
        <v>183</v>
      </c>
      <c r="Q50" s="28" t="n">
        <f aca="false">Assumptions!$C$5*Assumptions!$C$6</f>
        <v>125</v>
      </c>
      <c r="R50" s="28" t="n">
        <f aca="false">Assumptions!$C$5*Assumptions!$C$6</f>
        <v>125</v>
      </c>
      <c r="S50" s="40" t="n">
        <f aca="false">Assumptions!$C$10</f>
        <v>230</v>
      </c>
      <c r="T50" s="27" t="n">
        <f aca="false">Assumptions!$C$10</f>
        <v>230</v>
      </c>
      <c r="U50" s="28" t="n">
        <f aca="false">Assumptions!$C$5*Assumptions!$C$6</f>
        <v>125</v>
      </c>
      <c r="V50" s="28" t="n">
        <f aca="false">Assumptions!$C$5*Assumptions!$C$6</f>
        <v>125</v>
      </c>
      <c r="W50" s="28" t="n">
        <f aca="false">Assumptions!$C$5*Assumptions!$C$6</f>
        <v>125</v>
      </c>
      <c r="X50" s="28" t="n">
        <f aca="false">Assumptions!$C$5*Assumptions!$C$6</f>
        <v>125</v>
      </c>
      <c r="Y50" s="28" t="n">
        <f aca="false">Assumptions!$C$5*Assumptions!$C$6</f>
        <v>125</v>
      </c>
    </row>
    <row r="51" customFormat="false" ht="15" hidden="false" customHeight="false" outlineLevel="0" collapsed="false">
      <c r="B51" s="4" t="s">
        <v>184</v>
      </c>
      <c r="D51" s="30" t="n">
        <v>100</v>
      </c>
      <c r="E51" s="30" t="n">
        <v>100</v>
      </c>
      <c r="F51" s="41" t="n">
        <v>100</v>
      </c>
      <c r="G51" s="29" t="n">
        <v>50</v>
      </c>
      <c r="H51" s="30" t="n">
        <v>0</v>
      </c>
      <c r="I51" s="30" t="n">
        <v>0</v>
      </c>
      <c r="J51" s="30" t="n">
        <v>0</v>
      </c>
      <c r="K51" s="30" t="n">
        <v>0</v>
      </c>
      <c r="L51" s="30" t="n">
        <v>0</v>
      </c>
      <c r="O51" s="4" t="s">
        <v>184</v>
      </c>
      <c r="Q51" s="30" t="n">
        <v>100</v>
      </c>
      <c r="R51" s="30" t="n">
        <v>100</v>
      </c>
      <c r="S51" s="41" t="n">
        <v>100</v>
      </c>
      <c r="T51" s="29" t="n">
        <v>50</v>
      </c>
      <c r="U51" s="30" t="n">
        <v>0</v>
      </c>
      <c r="V51" s="30" t="n">
        <v>0</v>
      </c>
      <c r="W51" s="30" t="n">
        <v>0</v>
      </c>
      <c r="X51" s="30" t="n">
        <v>0</v>
      </c>
      <c r="Y51" s="30" t="n">
        <v>0</v>
      </c>
    </row>
    <row r="52" customFormat="false" ht="15" hidden="false" customHeight="false" outlineLevel="0" collapsed="false">
      <c r="B52" s="4" t="s">
        <v>208</v>
      </c>
      <c r="C52" s="31" t="n">
        <f aca="false">MAX(Assumptions!$C$5*Assumptions!$C$12,D50-(D51))</f>
        <v>25</v>
      </c>
      <c r="D52" s="33" t="n">
        <f aca="false">$C52*Assumptions!$C$23</f>
        <v>25</v>
      </c>
      <c r="E52" s="33" t="n">
        <f aca="false">$C52*Assumptions!$D$23</f>
        <v>3.75</v>
      </c>
      <c r="F52" s="42" t="n">
        <f aca="false">$C52*Assumptions!$E$23</f>
        <v>1.25</v>
      </c>
      <c r="G52" s="32" t="n">
        <f aca="false">$C52*Assumptions!$F$23</f>
        <v>1.25</v>
      </c>
      <c r="M52" s="33" t="n">
        <f aca="false">$C52*Assumptions!$G$23</f>
        <v>31.25</v>
      </c>
      <c r="O52" s="4" t="s">
        <v>209</v>
      </c>
      <c r="P52" s="31" t="n">
        <f aca="false">MAX(Assumptions!$C$5*Assumptions!$C$12,Q50-(Q51))</f>
        <v>25</v>
      </c>
      <c r="Q52" s="33" t="n">
        <f aca="false">$P52*Assumptions!$C$21</f>
        <v>25</v>
      </c>
      <c r="R52" s="33" t="n">
        <f aca="false">$P52*Assumptions!$D$21</f>
        <v>0</v>
      </c>
      <c r="S52" s="42" t="n">
        <f aca="false">$P52*Assumptions!$E$21</f>
        <v>0</v>
      </c>
      <c r="T52" s="32" t="n">
        <f aca="false">$P52*Assumptions!$F$21</f>
        <v>0</v>
      </c>
      <c r="Z52" s="33" t="n">
        <f aca="false">$P52*Assumptions!$G$21</f>
        <v>25</v>
      </c>
    </row>
    <row r="53" customFormat="false" ht="15" hidden="false" customHeight="false" outlineLevel="0" collapsed="false">
      <c r="B53" s="4" t="s">
        <v>210</v>
      </c>
      <c r="C53" s="31" t="n">
        <f aca="false">MAX(Assumptions!$C$5*Assumptions!$C$12,E50-(E51))</f>
        <v>25</v>
      </c>
      <c r="E53" s="33" t="n">
        <f aca="false">$C53*Assumptions!$C$23</f>
        <v>25</v>
      </c>
      <c r="F53" s="42" t="n">
        <f aca="false">$C53*Assumptions!$D$23</f>
        <v>3.75</v>
      </c>
      <c r="G53" s="32" t="n">
        <f aca="false">$C53*Assumptions!$E$23</f>
        <v>1.25</v>
      </c>
      <c r="H53" s="33" t="n">
        <f aca="false">$C53*Assumptions!$F$23</f>
        <v>1.25</v>
      </c>
      <c r="M53" s="33" t="n">
        <f aca="false">$C53*Assumptions!$G$23</f>
        <v>31.25</v>
      </c>
      <c r="O53" s="4" t="s">
        <v>211</v>
      </c>
      <c r="P53" s="31" t="n">
        <f aca="false">MAX(Assumptions!$C$5*Assumptions!$C$12,R50-(R51))</f>
        <v>25</v>
      </c>
      <c r="R53" s="33" t="n">
        <f aca="false">$P53*Assumptions!$C$21</f>
        <v>25</v>
      </c>
      <c r="S53" s="42" t="n">
        <f aca="false">$P53*Assumptions!$D$21</f>
        <v>0</v>
      </c>
      <c r="T53" s="32" t="n">
        <f aca="false">$P53*Assumptions!$E$21</f>
        <v>0</v>
      </c>
      <c r="U53" s="33" t="n">
        <f aca="false">$P53*Assumptions!$F$21</f>
        <v>0</v>
      </c>
      <c r="Z53" s="33" t="n">
        <f aca="false">$P53*Assumptions!$G$21</f>
        <v>25</v>
      </c>
    </row>
    <row r="54" customFormat="false" ht="15" hidden="false" customHeight="false" outlineLevel="0" collapsed="false">
      <c r="B54" s="4" t="s">
        <v>269</v>
      </c>
      <c r="C54" s="31" t="n">
        <f aca="false">MAX(Assumptions!$C$5*Assumptions!$C$12,F50-(F51))</f>
        <v>100</v>
      </c>
      <c r="F54" s="42" t="n">
        <f aca="false">$C54*Assumptions!$C$23</f>
        <v>100</v>
      </c>
      <c r="G54" s="32" t="n">
        <f aca="false">$C54*Assumptions!$D$23</f>
        <v>15</v>
      </c>
      <c r="H54" s="33" t="n">
        <f aca="false">$C54*Assumptions!$E$23</f>
        <v>5</v>
      </c>
      <c r="I54" s="33" t="n">
        <f aca="false">$C54*Assumptions!$F$23</f>
        <v>5</v>
      </c>
      <c r="M54" s="33" t="n">
        <f aca="false">$C54*Assumptions!$G$23</f>
        <v>125</v>
      </c>
      <c r="O54" s="4" t="s">
        <v>243</v>
      </c>
      <c r="P54" s="31" t="n">
        <f aca="false">MAX(Assumptions!$C$5*Assumptions!$C$12,S50-(S51))</f>
        <v>130</v>
      </c>
      <c r="S54" s="42" t="n">
        <f aca="false">$P54*Assumptions!$C$21</f>
        <v>130</v>
      </c>
      <c r="T54" s="32" t="n">
        <f aca="false">$P54*Assumptions!$D$21</f>
        <v>0</v>
      </c>
      <c r="U54" s="33" t="n">
        <f aca="false">$P54*Assumptions!$E$21</f>
        <v>0</v>
      </c>
      <c r="V54" s="33" t="n">
        <f aca="false">$P54*Assumptions!$F$21</f>
        <v>0</v>
      </c>
      <c r="Z54" s="33" t="n">
        <f aca="false">$P54*Assumptions!$G$21</f>
        <v>130</v>
      </c>
    </row>
    <row r="55" customFormat="false" ht="15" hidden="false" customHeight="false" outlineLevel="0" collapsed="false">
      <c r="B55" s="4" t="s">
        <v>270</v>
      </c>
      <c r="C55" s="31" t="n">
        <f aca="false">MAX(Assumptions!$C$5*Assumptions!$C$12,G50-(G51))</f>
        <v>150</v>
      </c>
      <c r="F55" s="43"/>
      <c r="G55" s="32" t="n">
        <f aca="false">$C55*Assumptions!$C$17</f>
        <v>150</v>
      </c>
      <c r="H55" s="33" t="n">
        <f aca="false">$C55*Assumptions!$D$17</f>
        <v>22.5</v>
      </c>
      <c r="I55" s="33" t="n">
        <f aca="false">$C55*Assumptions!$E$17</f>
        <v>7.5</v>
      </c>
      <c r="J55" s="33" t="n">
        <f aca="false">$C55*Assumptions!$F$17</f>
        <v>7.5</v>
      </c>
      <c r="M55" s="33" t="n">
        <f aca="false">$C55*Assumptions!$G$17</f>
        <v>187.5</v>
      </c>
      <c r="O55" s="4" t="s">
        <v>223</v>
      </c>
      <c r="P55" s="31" t="n">
        <f aca="false">T50-(T51+$P56)</f>
        <v>65</v>
      </c>
      <c r="S55" s="43"/>
      <c r="T55" s="32" t="n">
        <f aca="false">$P55*Assumptions!$C$21</f>
        <v>65</v>
      </c>
      <c r="U55" s="33" t="n">
        <f aca="false">$P55*Assumptions!$D$21</f>
        <v>0</v>
      </c>
      <c r="V55" s="33" t="n">
        <f aca="false">$P55*Assumptions!$E$21</f>
        <v>0</v>
      </c>
      <c r="W55" s="33" t="n">
        <f aca="false">$P55*Assumptions!$F$21</f>
        <v>0</v>
      </c>
      <c r="Z55" s="33" t="n">
        <f aca="false">$P55*Assumptions!$G$21</f>
        <v>65</v>
      </c>
    </row>
    <row r="56" customFormat="false" ht="15" hidden="false" customHeight="false" outlineLevel="0" collapsed="false">
      <c r="B56" s="4" t="s">
        <v>246</v>
      </c>
      <c r="C56" s="31" t="n">
        <f aca="false">Assumptions!$C$5*Assumptions!$C$8</f>
        <v>200</v>
      </c>
      <c r="F56" s="43"/>
      <c r="G56" s="34"/>
      <c r="H56" s="33" t="n">
        <f aca="false">$C56*Assumptions!$C$17</f>
        <v>200</v>
      </c>
      <c r="I56" s="33" t="n">
        <f aca="false">$C56*Assumptions!$D$17</f>
        <v>30</v>
      </c>
      <c r="J56" s="33" t="n">
        <f aca="false">$C56*Assumptions!$E$17</f>
        <v>10</v>
      </c>
      <c r="K56" s="33" t="n">
        <f aca="false">$C56*Assumptions!$F$17</f>
        <v>10</v>
      </c>
      <c r="M56" s="33" t="n">
        <f aca="false">$C56*Assumptions!$G$17</f>
        <v>250</v>
      </c>
      <c r="O56" s="4" t="s">
        <v>224</v>
      </c>
      <c r="P56" s="31" t="n">
        <f aca="false">Assumptions!$C$11*Assumptions!$C$10</f>
        <v>115</v>
      </c>
      <c r="S56" s="43"/>
      <c r="T56" s="32" t="n">
        <f aca="false">$P56*Assumptions!$C$18</f>
        <v>115</v>
      </c>
      <c r="U56" s="33" t="n">
        <f aca="false">$P56*Assumptions!$D$18</f>
        <v>115</v>
      </c>
      <c r="V56" s="33" t="n">
        <f aca="false">$P56*Assumptions!$E$18</f>
        <v>0</v>
      </c>
      <c r="W56" s="33" t="n">
        <f aca="false">$P56*Assumptions!$F$18</f>
        <v>0</v>
      </c>
      <c r="Z56" s="33" t="n">
        <f aca="false">$P56*Assumptions!$G$18</f>
        <v>230</v>
      </c>
    </row>
    <row r="57" customFormat="false" ht="15" hidden="false" customHeight="false" outlineLevel="0" collapsed="false">
      <c r="B57" s="4" t="s">
        <v>248</v>
      </c>
      <c r="C57" s="31" t="n">
        <f aca="false">Assumptions!$C$5*Assumptions!$C$8</f>
        <v>200</v>
      </c>
      <c r="F57" s="43"/>
      <c r="G57" s="34"/>
      <c r="I57" s="33" t="n">
        <f aca="false">$C57*Assumptions!$C$17</f>
        <v>200</v>
      </c>
      <c r="J57" s="33" t="n">
        <f aca="false">$C57*Assumptions!$D$17</f>
        <v>30</v>
      </c>
      <c r="K57" s="33" t="n">
        <f aca="false">$C57*Assumptions!$E$17</f>
        <v>10</v>
      </c>
      <c r="L57" s="33" t="n">
        <f aca="false">$C57*Assumptions!$F$17</f>
        <v>10</v>
      </c>
      <c r="M57" s="33" t="n">
        <f aca="false">$C57*Assumptions!$G$17</f>
        <v>250</v>
      </c>
      <c r="O57" s="4" t="s">
        <v>247</v>
      </c>
      <c r="P57" s="31" t="n">
        <f aca="false">Assumptions!$C$11*Assumptions!$C$10</f>
        <v>115</v>
      </c>
      <c r="S57" s="43"/>
      <c r="T57" s="34"/>
      <c r="U57" s="33" t="n">
        <f aca="false">$P57*Assumptions!$C$18</f>
        <v>115</v>
      </c>
      <c r="V57" s="33" t="n">
        <f aca="false">$P57*Assumptions!$D$18</f>
        <v>115</v>
      </c>
      <c r="W57" s="33" t="n">
        <f aca="false">$P57*Assumptions!$E$18</f>
        <v>0</v>
      </c>
      <c r="X57" s="33" t="n">
        <f aca="false">$P57*Assumptions!$F$18</f>
        <v>0</v>
      </c>
      <c r="Z57" s="33" t="n">
        <f aca="false">$P57*Assumptions!$G$18</f>
        <v>230</v>
      </c>
    </row>
    <row r="58" customFormat="false" ht="15" hidden="false" customHeight="false" outlineLevel="0" collapsed="false">
      <c r="B58" s="4" t="s">
        <v>250</v>
      </c>
      <c r="C58" s="31" t="n">
        <f aca="false">Assumptions!$C$5*Assumptions!$C$8</f>
        <v>200</v>
      </c>
      <c r="F58" s="43"/>
      <c r="G58" s="34"/>
      <c r="J58" s="33" t="n">
        <f aca="false">$C58*Assumptions!$C$17</f>
        <v>200</v>
      </c>
      <c r="K58" s="33" t="n">
        <f aca="false">$C58*Assumptions!$D$17</f>
        <v>30</v>
      </c>
      <c r="L58" s="33" t="n">
        <f aca="false">$C58*Assumptions!$E$17</f>
        <v>10</v>
      </c>
      <c r="M58" s="33" t="n">
        <f aca="false">$C58*Assumptions!$G$17</f>
        <v>250</v>
      </c>
      <c r="O58" s="4" t="s">
        <v>249</v>
      </c>
      <c r="P58" s="31" t="n">
        <f aca="false">Assumptions!$C$11*Assumptions!$C$10</f>
        <v>115</v>
      </c>
      <c r="S58" s="43"/>
      <c r="T58" s="34"/>
      <c r="V58" s="33" t="n">
        <f aca="false">$P58*Assumptions!$C$18</f>
        <v>115</v>
      </c>
      <c r="W58" s="33" t="n">
        <f aca="false">$P58*Assumptions!$D$18</f>
        <v>115</v>
      </c>
      <c r="X58" s="33" t="n">
        <f aca="false">$P58*Assumptions!$E$18</f>
        <v>0</v>
      </c>
      <c r="Y58" s="33" t="n">
        <f aca="false">$P58*Assumptions!$F$18</f>
        <v>0</v>
      </c>
      <c r="Z58" s="33" t="n">
        <f aca="false">$P58*Assumptions!$G$18</f>
        <v>230</v>
      </c>
    </row>
    <row r="59" customFormat="false" ht="15" hidden="false" customHeight="false" outlineLevel="0" collapsed="false">
      <c r="B59" s="4" t="s">
        <v>252</v>
      </c>
      <c r="C59" s="31" t="n">
        <f aca="false">Assumptions!$C$5*Assumptions!$C$8</f>
        <v>200</v>
      </c>
      <c r="F59" s="43"/>
      <c r="G59" s="34"/>
      <c r="K59" s="33" t="n">
        <f aca="false">$C59*Assumptions!$C$17</f>
        <v>200</v>
      </c>
      <c r="L59" s="33" t="n">
        <f aca="false">$C59*Assumptions!$D$17</f>
        <v>30</v>
      </c>
      <c r="M59" s="33" t="n">
        <f aca="false">$C59*Assumptions!$G$17</f>
        <v>250</v>
      </c>
      <c r="O59" s="4" t="s">
        <v>251</v>
      </c>
      <c r="P59" s="31" t="n">
        <f aca="false">Assumptions!$C$11*Assumptions!$C$10</f>
        <v>115</v>
      </c>
      <c r="S59" s="43"/>
      <c r="T59" s="34"/>
      <c r="W59" s="33" t="n">
        <f aca="false">$P59*Assumptions!$C$18</f>
        <v>115</v>
      </c>
      <c r="X59" s="33" t="n">
        <f aca="false">$P59*Assumptions!$D$18</f>
        <v>115</v>
      </c>
      <c r="Y59" s="33" t="n">
        <f aca="false">$P59*Assumptions!$E$18</f>
        <v>0</v>
      </c>
      <c r="Z59" s="33" t="n">
        <f aca="false">$P59*Assumptions!$G$18</f>
        <v>230</v>
      </c>
    </row>
    <row r="60" customFormat="false" ht="15" hidden="false" customHeight="false" outlineLevel="0" collapsed="false">
      <c r="B60" s="4" t="s">
        <v>254</v>
      </c>
      <c r="C60" s="31" t="n">
        <f aca="false">Assumptions!$C$5*Assumptions!$C$8</f>
        <v>200</v>
      </c>
      <c r="F60" s="43"/>
      <c r="G60" s="34"/>
      <c r="L60" s="33" t="n">
        <f aca="false">$C60*Assumptions!$C$17</f>
        <v>200</v>
      </c>
      <c r="M60" s="33" t="n">
        <f aca="false">$C60*Assumptions!$G$17</f>
        <v>250</v>
      </c>
      <c r="O60" s="4" t="s">
        <v>253</v>
      </c>
      <c r="P60" s="31" t="n">
        <f aca="false">Assumptions!$C$11*Assumptions!$C$10</f>
        <v>115</v>
      </c>
      <c r="S60" s="43"/>
      <c r="T60" s="34"/>
      <c r="X60" s="33" t="n">
        <f aca="false">$P60*Assumptions!$C$18</f>
        <v>115</v>
      </c>
      <c r="Y60" s="33" t="n">
        <f aca="false">$P60*Assumptions!$D$18</f>
        <v>115</v>
      </c>
      <c r="Z60" s="33" t="n">
        <f aca="false">$P60*Assumptions!$G$18</f>
        <v>230</v>
      </c>
    </row>
    <row r="61" customFormat="false" ht="15" hidden="false" customHeight="false" outlineLevel="0" collapsed="false">
      <c r="B61" s="8" t="s">
        <v>203</v>
      </c>
      <c r="C61" s="8" t="s">
        <v>204</v>
      </c>
      <c r="D61" s="13" t="n">
        <f aca="false">D51+SUM(D52:D60)</f>
        <v>125</v>
      </c>
      <c r="E61" s="13" t="n">
        <f aca="false">E51+SUM(E52:E60)</f>
        <v>128.75</v>
      </c>
      <c r="F61" s="44" t="n">
        <f aca="false">F51+SUM(F52:F60)</f>
        <v>205</v>
      </c>
      <c r="G61" s="35" t="n">
        <f aca="false">G51+SUM(G52:G60)</f>
        <v>217.5</v>
      </c>
      <c r="H61" s="13" t="n">
        <f aca="false">H51+SUM(H52:H60)</f>
        <v>228.75</v>
      </c>
      <c r="I61" s="13" t="n">
        <f aca="false">I51+SUM(I52:I60)</f>
        <v>242.5</v>
      </c>
      <c r="J61" s="13" t="n">
        <f aca="false">J51+SUM(J52:J60)</f>
        <v>247.5</v>
      </c>
      <c r="K61" s="13" t="n">
        <f aca="false">K51+SUM(K52:K60)</f>
        <v>250</v>
      </c>
      <c r="L61" s="13" t="n">
        <f aca="false">L51+SUM(L52:L60)</f>
        <v>250</v>
      </c>
      <c r="M61" s="13" t="n">
        <f aca="false">SUM(M52:M60)</f>
        <v>1625</v>
      </c>
      <c r="O61" s="4" t="s">
        <v>255</v>
      </c>
      <c r="P61" s="31" t="n">
        <f aca="false">Assumptions!$C$11*Assumptions!$C$10</f>
        <v>115</v>
      </c>
      <c r="S61" s="43"/>
      <c r="T61" s="34"/>
      <c r="Y61" s="33" t="n">
        <f aca="false">$P61*Assumptions!$C$18</f>
        <v>115</v>
      </c>
      <c r="Z61" s="33" t="n">
        <f aca="false">$P61*Assumptions!$G$18</f>
        <v>230</v>
      </c>
    </row>
    <row r="62" customFormat="false" ht="15" hidden="false" customHeight="false" outlineLevel="0" collapsed="false">
      <c r="B62" s="2" t="s">
        <v>205</v>
      </c>
      <c r="D62" s="37" t="n">
        <f aca="false">D61/D50</f>
        <v>1</v>
      </c>
      <c r="E62" s="37" t="n">
        <f aca="false">E61/E50</f>
        <v>1.03</v>
      </c>
      <c r="F62" s="45" t="n">
        <f aca="false">F61/F50</f>
        <v>1.025</v>
      </c>
      <c r="G62" s="36" t="n">
        <f aca="false">G61/G50</f>
        <v>1.0875</v>
      </c>
      <c r="H62" s="37" t="n">
        <f aca="false">H61/H50</f>
        <v>1.83</v>
      </c>
      <c r="I62" s="37" t="n">
        <f aca="false">I61/I50</f>
        <v>1.94</v>
      </c>
      <c r="J62" s="37" t="n">
        <f aca="false">J61/J50</f>
        <v>1.98</v>
      </c>
      <c r="K62" s="37" t="n">
        <f aca="false">K61/K50</f>
        <v>2</v>
      </c>
      <c r="L62" s="37" t="n">
        <f aca="false">L61/L50</f>
        <v>2</v>
      </c>
      <c r="O62" s="8" t="s">
        <v>203</v>
      </c>
      <c r="P62" s="8" t="s">
        <v>204</v>
      </c>
      <c r="Q62" s="13" t="n">
        <f aca="false">Q51+SUM(Q52:Q61)</f>
        <v>125</v>
      </c>
      <c r="R62" s="13" t="n">
        <f aca="false">R51+SUM(R52:R61)</f>
        <v>125</v>
      </c>
      <c r="S62" s="44" t="n">
        <f aca="false">S51+SUM(S52:S61)</f>
        <v>230</v>
      </c>
      <c r="T62" s="35" t="n">
        <f aca="false">T51+SUM(T52:T61)</f>
        <v>230</v>
      </c>
      <c r="U62" s="13" t="n">
        <f aca="false">U51+SUM(U52:U61)</f>
        <v>230</v>
      </c>
      <c r="V62" s="13" t="n">
        <f aca="false">V51+SUM(V52:V61)</f>
        <v>230</v>
      </c>
      <c r="W62" s="13" t="n">
        <f aca="false">W51+SUM(W52:W61)</f>
        <v>230</v>
      </c>
      <c r="X62" s="13" t="n">
        <f aca="false">X51+SUM(X52:X61)</f>
        <v>230</v>
      </c>
      <c r="Y62" s="13" t="n">
        <f aca="false">Y51+SUM(Y52:Y61)</f>
        <v>230</v>
      </c>
      <c r="Z62" s="13" t="n">
        <f aca="false">SUM(Z52:Z61)</f>
        <v>1625</v>
      </c>
    </row>
    <row r="63" customFormat="false" ht="15" hidden="false" customHeight="false" outlineLevel="0" collapsed="false">
      <c r="B63" s="2" t="s">
        <v>206</v>
      </c>
      <c r="D63" s="39" t="n">
        <f aca="false">D61-Assumptions!$C$5</f>
        <v>25</v>
      </c>
      <c r="E63" s="39" t="n">
        <f aca="false">E61-D61</f>
        <v>3.75</v>
      </c>
      <c r="F63" s="46" t="n">
        <f aca="false">F61-E61</f>
        <v>76.25</v>
      </c>
      <c r="G63" s="38" t="n">
        <f aca="false">G61-F61</f>
        <v>12.5</v>
      </c>
      <c r="H63" s="39" t="n">
        <f aca="false">H61-G61</f>
        <v>11.25</v>
      </c>
      <c r="I63" s="39" t="n">
        <f aca="false">I61-H61</f>
        <v>13.75</v>
      </c>
      <c r="J63" s="39" t="n">
        <f aca="false">J61-I61</f>
        <v>5</v>
      </c>
      <c r="K63" s="39" t="n">
        <f aca="false">K61-J61</f>
        <v>2.5</v>
      </c>
      <c r="L63" s="39" t="n">
        <f aca="false">L61-K61</f>
        <v>0</v>
      </c>
      <c r="O63" s="2" t="s">
        <v>205</v>
      </c>
      <c r="Q63" s="37" t="n">
        <f aca="false">Q62/Q50</f>
        <v>1</v>
      </c>
      <c r="R63" s="37" t="n">
        <f aca="false">R62/R50</f>
        <v>1</v>
      </c>
      <c r="S63" s="45" t="n">
        <f aca="false">S62/S50</f>
        <v>1</v>
      </c>
      <c r="T63" s="36" t="n">
        <f aca="false">T62/T50</f>
        <v>1</v>
      </c>
      <c r="U63" s="37" t="n">
        <f aca="false">U62/U50</f>
        <v>1.84</v>
      </c>
      <c r="V63" s="37" t="n">
        <f aca="false">V62/V50</f>
        <v>1.84</v>
      </c>
      <c r="W63" s="37" t="n">
        <f aca="false">W62/W50</f>
        <v>1.84</v>
      </c>
      <c r="X63" s="37" t="n">
        <f aca="false">X62/X50</f>
        <v>1.84</v>
      </c>
      <c r="Y63" s="37" t="n">
        <f aca="false">Y62/Y50</f>
        <v>1.84</v>
      </c>
    </row>
    <row r="64" customFormat="false" ht="15" hidden="false" customHeight="false" outlineLevel="0" collapsed="false">
      <c r="F64" s="43"/>
      <c r="G64" s="34"/>
      <c r="O64" s="2" t="s">
        <v>206</v>
      </c>
      <c r="Q64" s="39" t="n">
        <f aca="false">Q62-Assumptions!$C$5</f>
        <v>25</v>
      </c>
      <c r="R64" s="39" t="n">
        <f aca="false">R62-Q62</f>
        <v>0</v>
      </c>
      <c r="S64" s="46" t="n">
        <f aca="false">S62-R62</f>
        <v>105</v>
      </c>
      <c r="T64" s="38" t="n">
        <f aca="false">T62-S62</f>
        <v>0</v>
      </c>
      <c r="U64" s="39" t="n">
        <f aca="false">U62-T62</f>
        <v>0</v>
      </c>
      <c r="V64" s="39" t="n">
        <f aca="false">V62-U62</f>
        <v>0</v>
      </c>
      <c r="W64" s="39" t="n">
        <f aca="false">W62-V62</f>
        <v>0</v>
      </c>
      <c r="X64" s="39" t="n">
        <f aca="false">X62-W62</f>
        <v>0</v>
      </c>
      <c r="Y64" s="39" t="n">
        <f aca="false">Y62-X62</f>
        <v>0</v>
      </c>
    </row>
    <row r="65" customFormat="false" ht="15" hidden="false" customHeight="false" outlineLevel="0" collapsed="false">
      <c r="S65" s="43"/>
      <c r="T65" s="34"/>
    </row>
    <row r="68" customFormat="false" ht="15" hidden="false" customHeight="false" outlineLevel="0" collapsed="false">
      <c r="B68" s="3" t="s">
        <v>227</v>
      </c>
    </row>
    <row r="69" customFormat="false" ht="15" hidden="false" customHeight="false" outlineLevel="0" collapsed="false">
      <c r="B69" s="5" t="s">
        <v>180</v>
      </c>
      <c r="C69" s="7" t="s">
        <v>181</v>
      </c>
      <c r="D69" s="7" t="s">
        <v>91</v>
      </c>
      <c r="E69" s="7" t="s">
        <v>92</v>
      </c>
      <c r="F69" s="7" t="s">
        <v>93</v>
      </c>
      <c r="G69" s="7" t="s">
        <v>94</v>
      </c>
      <c r="H69" s="7" t="s">
        <v>95</v>
      </c>
      <c r="I69" s="7" t="s">
        <v>96</v>
      </c>
      <c r="J69" s="7" t="s">
        <v>97</v>
      </c>
      <c r="K69" s="7" t="s">
        <v>98</v>
      </c>
      <c r="L69" s="7" t="s">
        <v>99</v>
      </c>
      <c r="M69" s="7" t="s">
        <v>100</v>
      </c>
      <c r="O69" s="25" t="s">
        <v>182</v>
      </c>
      <c r="P69" s="26" t="s">
        <v>181</v>
      </c>
      <c r="Q69" s="26" t="s">
        <v>91</v>
      </c>
      <c r="R69" s="26" t="s">
        <v>92</v>
      </c>
      <c r="S69" s="26" t="s">
        <v>93</v>
      </c>
      <c r="T69" s="26" t="s">
        <v>94</v>
      </c>
      <c r="U69" s="26" t="s">
        <v>95</v>
      </c>
      <c r="V69" s="26" t="s">
        <v>96</v>
      </c>
      <c r="W69" s="26" t="s">
        <v>97</v>
      </c>
      <c r="X69" s="26" t="s">
        <v>98</v>
      </c>
      <c r="Y69" s="26" t="s">
        <v>99</v>
      </c>
      <c r="Z69" s="26" t="s">
        <v>100</v>
      </c>
    </row>
    <row r="70" customFormat="false" ht="15" hidden="false" customHeight="false" outlineLevel="0" collapsed="false">
      <c r="B70" s="2" t="s">
        <v>183</v>
      </c>
      <c r="D70" s="28" t="n">
        <f aca="false">Assumptions!$C$5*Assumptions!$C$6</f>
        <v>125</v>
      </c>
      <c r="E70" s="28" t="n">
        <f aca="false">Assumptions!$C$5*Assumptions!$C$6</f>
        <v>125</v>
      </c>
      <c r="F70" s="40" t="n">
        <f aca="false">Assumptions!$C$5*Assumptions!$C$8</f>
        <v>200</v>
      </c>
      <c r="G70" s="27" t="n">
        <f aca="false">Assumptions!$C$5*Assumptions!$C$8</f>
        <v>200</v>
      </c>
      <c r="H70" s="28" t="n">
        <f aca="false">Assumptions!$C$5*Assumptions!$C$6</f>
        <v>125</v>
      </c>
      <c r="I70" s="28" t="n">
        <f aca="false">Assumptions!$C$5*Assumptions!$C$6</f>
        <v>125</v>
      </c>
      <c r="J70" s="28" t="n">
        <f aca="false">Assumptions!$C$5*Assumptions!$C$6</f>
        <v>125</v>
      </c>
      <c r="K70" s="28" t="n">
        <f aca="false">Assumptions!$C$5*Assumptions!$C$6</f>
        <v>125</v>
      </c>
      <c r="L70" s="28" t="n">
        <f aca="false">Assumptions!$C$5*Assumptions!$C$6</f>
        <v>125</v>
      </c>
      <c r="O70" s="2" t="s">
        <v>183</v>
      </c>
      <c r="Q70" s="28" t="n">
        <f aca="false">Assumptions!$C$5*Assumptions!$C$6</f>
        <v>125</v>
      </c>
      <c r="R70" s="28" t="n">
        <f aca="false">Assumptions!$C$5*Assumptions!$C$6</f>
        <v>125</v>
      </c>
      <c r="S70" s="40" t="n">
        <f aca="false">Assumptions!$C$10</f>
        <v>230</v>
      </c>
      <c r="T70" s="27" t="n">
        <f aca="false">Assumptions!$C$10</f>
        <v>230</v>
      </c>
      <c r="U70" s="28" t="n">
        <f aca="false">Assumptions!$C$5*Assumptions!$C$6</f>
        <v>125</v>
      </c>
      <c r="V70" s="28" t="n">
        <f aca="false">Assumptions!$C$5*Assumptions!$C$6</f>
        <v>125</v>
      </c>
      <c r="W70" s="28" t="n">
        <f aca="false">Assumptions!$C$5*Assumptions!$C$6</f>
        <v>125</v>
      </c>
      <c r="X70" s="28" t="n">
        <f aca="false">Assumptions!$C$5*Assumptions!$C$6</f>
        <v>125</v>
      </c>
      <c r="Y70" s="28" t="n">
        <f aca="false">Assumptions!$C$5*Assumptions!$C$6</f>
        <v>125</v>
      </c>
    </row>
    <row r="71" customFormat="false" ht="15" hidden="false" customHeight="false" outlineLevel="0" collapsed="false">
      <c r="B71" s="4" t="s">
        <v>184</v>
      </c>
      <c r="D71" s="30" t="n">
        <v>100</v>
      </c>
      <c r="E71" s="30" t="n">
        <v>100</v>
      </c>
      <c r="F71" s="41" t="n">
        <v>100</v>
      </c>
      <c r="G71" s="29" t="n">
        <v>75</v>
      </c>
      <c r="H71" s="30" t="n">
        <v>0</v>
      </c>
      <c r="I71" s="30" t="n">
        <v>0</v>
      </c>
      <c r="J71" s="30" t="n">
        <v>0</v>
      </c>
      <c r="K71" s="30" t="n">
        <v>0</v>
      </c>
      <c r="L71" s="30" t="n">
        <v>0</v>
      </c>
      <c r="O71" s="4" t="s">
        <v>184</v>
      </c>
      <c r="Q71" s="30" t="n">
        <v>100</v>
      </c>
      <c r="R71" s="30" t="n">
        <v>100</v>
      </c>
      <c r="S71" s="41" t="n">
        <v>100</v>
      </c>
      <c r="T71" s="29" t="n">
        <v>75</v>
      </c>
      <c r="U71" s="30" t="n">
        <v>0</v>
      </c>
      <c r="V71" s="30" t="n">
        <v>0</v>
      </c>
      <c r="W71" s="30" t="n">
        <v>0</v>
      </c>
      <c r="X71" s="30" t="n">
        <v>0</v>
      </c>
      <c r="Y71" s="30" t="n">
        <v>0</v>
      </c>
    </row>
    <row r="72" customFormat="false" ht="15" hidden="false" customHeight="false" outlineLevel="0" collapsed="false">
      <c r="B72" s="4" t="s">
        <v>208</v>
      </c>
      <c r="C72" s="31" t="n">
        <f aca="false">MAX(Assumptions!$C$5*Assumptions!$C$12,D70-(D71))</f>
        <v>25</v>
      </c>
      <c r="D72" s="33" t="n">
        <f aca="false">$C72*Assumptions!$C$23</f>
        <v>25</v>
      </c>
      <c r="E72" s="33" t="n">
        <f aca="false">$C72*Assumptions!$D$23</f>
        <v>3.75</v>
      </c>
      <c r="F72" s="42" t="n">
        <f aca="false">$C72*Assumptions!$E$23</f>
        <v>1.25</v>
      </c>
      <c r="G72" s="32" t="n">
        <f aca="false">$C72*Assumptions!$F$23</f>
        <v>1.25</v>
      </c>
      <c r="M72" s="33" t="n">
        <f aca="false">$C72*Assumptions!$G$23</f>
        <v>31.25</v>
      </c>
      <c r="O72" s="4" t="s">
        <v>209</v>
      </c>
      <c r="P72" s="31" t="n">
        <f aca="false">MAX(Assumptions!$C$5*Assumptions!$C$12,Q70-(Q71))</f>
        <v>25</v>
      </c>
      <c r="Q72" s="33" t="n">
        <f aca="false">$P72*Assumptions!$C$21</f>
        <v>25</v>
      </c>
      <c r="R72" s="33" t="n">
        <f aca="false">$P72*Assumptions!$D$21</f>
        <v>0</v>
      </c>
      <c r="S72" s="42" t="n">
        <f aca="false">$P72*Assumptions!$E$21</f>
        <v>0</v>
      </c>
      <c r="T72" s="32" t="n">
        <f aca="false">$P72*Assumptions!$F$21</f>
        <v>0</v>
      </c>
      <c r="Z72" s="33" t="n">
        <f aca="false">$P72*Assumptions!$G$21</f>
        <v>25</v>
      </c>
    </row>
    <row r="73" customFormat="false" ht="15" hidden="false" customHeight="false" outlineLevel="0" collapsed="false">
      <c r="B73" s="4" t="s">
        <v>210</v>
      </c>
      <c r="C73" s="31" t="n">
        <f aca="false">MAX(Assumptions!$C$5*Assumptions!$C$12,E70-(E71))</f>
        <v>25</v>
      </c>
      <c r="E73" s="33" t="n">
        <f aca="false">$C73*Assumptions!$C$23</f>
        <v>25</v>
      </c>
      <c r="F73" s="42" t="n">
        <f aca="false">$C73*Assumptions!$D$23</f>
        <v>3.75</v>
      </c>
      <c r="G73" s="32" t="n">
        <f aca="false">$C73*Assumptions!$E$23</f>
        <v>1.25</v>
      </c>
      <c r="H73" s="33" t="n">
        <f aca="false">$C73*Assumptions!$F$23</f>
        <v>1.25</v>
      </c>
      <c r="M73" s="33" t="n">
        <f aca="false">$C73*Assumptions!$G$23</f>
        <v>31.25</v>
      </c>
      <c r="O73" s="4" t="s">
        <v>211</v>
      </c>
      <c r="P73" s="31" t="n">
        <f aca="false">MAX(Assumptions!$C$5*Assumptions!$C$12,R70-(R71))</f>
        <v>25</v>
      </c>
      <c r="R73" s="33" t="n">
        <f aca="false">$P73*Assumptions!$C$21</f>
        <v>25</v>
      </c>
      <c r="S73" s="42" t="n">
        <f aca="false">$P73*Assumptions!$D$21</f>
        <v>0</v>
      </c>
      <c r="T73" s="32" t="n">
        <f aca="false">$P73*Assumptions!$E$21</f>
        <v>0</v>
      </c>
      <c r="U73" s="33" t="n">
        <f aca="false">$P73*Assumptions!$F$21</f>
        <v>0</v>
      </c>
      <c r="Z73" s="33" t="n">
        <f aca="false">$P73*Assumptions!$G$21</f>
        <v>25</v>
      </c>
    </row>
    <row r="74" customFormat="false" ht="15" hidden="false" customHeight="false" outlineLevel="0" collapsed="false">
      <c r="B74" s="4" t="s">
        <v>269</v>
      </c>
      <c r="C74" s="31" t="n">
        <f aca="false">MAX(Assumptions!$C$5*Assumptions!$C$12,F70-(F71))</f>
        <v>100</v>
      </c>
      <c r="F74" s="42" t="n">
        <f aca="false">$C74*Assumptions!$C$23</f>
        <v>100</v>
      </c>
      <c r="G74" s="32" t="n">
        <f aca="false">$C74*Assumptions!$D$23</f>
        <v>15</v>
      </c>
      <c r="H74" s="33" t="n">
        <f aca="false">$C74*Assumptions!$E$23</f>
        <v>5</v>
      </c>
      <c r="I74" s="33" t="n">
        <f aca="false">$C74*Assumptions!$F$23</f>
        <v>5</v>
      </c>
      <c r="M74" s="33" t="n">
        <f aca="false">$C74*Assumptions!$G$23</f>
        <v>125</v>
      </c>
      <c r="O74" s="4" t="s">
        <v>243</v>
      </c>
      <c r="P74" s="31" t="n">
        <f aca="false">MAX(Assumptions!$C$5*Assumptions!$C$12,S70-(S71))</f>
        <v>130</v>
      </c>
      <c r="S74" s="42" t="n">
        <f aca="false">$P74*Assumptions!$C$21</f>
        <v>130</v>
      </c>
      <c r="T74" s="32" t="n">
        <f aca="false">$P74*Assumptions!$D$21</f>
        <v>0</v>
      </c>
      <c r="U74" s="33" t="n">
        <f aca="false">$P74*Assumptions!$E$21</f>
        <v>0</v>
      </c>
      <c r="V74" s="33" t="n">
        <f aca="false">$P74*Assumptions!$F$21</f>
        <v>0</v>
      </c>
      <c r="Z74" s="33" t="n">
        <f aca="false">$P74*Assumptions!$G$21</f>
        <v>130</v>
      </c>
    </row>
    <row r="75" customFormat="false" ht="15" hidden="false" customHeight="false" outlineLevel="0" collapsed="false">
      <c r="B75" s="4" t="s">
        <v>270</v>
      </c>
      <c r="C75" s="31" t="n">
        <f aca="false">MAX(Assumptions!$C$5*Assumptions!$C$12,G70-(G71))</f>
        <v>125</v>
      </c>
      <c r="F75" s="43"/>
      <c r="G75" s="32" t="n">
        <f aca="false">$C75*Assumptions!$C$17</f>
        <v>125</v>
      </c>
      <c r="H75" s="33" t="n">
        <f aca="false">$C75*Assumptions!$D$17</f>
        <v>18.75</v>
      </c>
      <c r="I75" s="33" t="n">
        <f aca="false">$C75*Assumptions!$E$17</f>
        <v>6.25</v>
      </c>
      <c r="J75" s="33" t="n">
        <f aca="false">$C75*Assumptions!$F$17</f>
        <v>6.25</v>
      </c>
      <c r="M75" s="33" t="n">
        <f aca="false">$C75*Assumptions!$G$17</f>
        <v>156.25</v>
      </c>
      <c r="O75" s="4" t="s">
        <v>223</v>
      </c>
      <c r="P75" s="31" t="n">
        <f aca="false">T70-(T71+$P76)</f>
        <v>40</v>
      </c>
      <c r="S75" s="43"/>
      <c r="T75" s="32" t="n">
        <f aca="false">$P75*Assumptions!$C$21</f>
        <v>40</v>
      </c>
      <c r="U75" s="33" t="n">
        <f aca="false">$P75*Assumptions!$D$21</f>
        <v>0</v>
      </c>
      <c r="V75" s="33" t="n">
        <f aca="false">$P75*Assumptions!$E$21</f>
        <v>0</v>
      </c>
      <c r="W75" s="33" t="n">
        <f aca="false">$P75*Assumptions!$F$21</f>
        <v>0</v>
      </c>
      <c r="Z75" s="33" t="n">
        <f aca="false">$P75*Assumptions!$G$21</f>
        <v>40</v>
      </c>
    </row>
    <row r="76" customFormat="false" ht="15" hidden="false" customHeight="false" outlineLevel="0" collapsed="false">
      <c r="B76" s="4" t="s">
        <v>246</v>
      </c>
      <c r="C76" s="31" t="n">
        <f aca="false">Assumptions!$C$5*Assumptions!$C$8</f>
        <v>200</v>
      </c>
      <c r="F76" s="43"/>
      <c r="G76" s="34"/>
      <c r="H76" s="33" t="n">
        <f aca="false">$C76*Assumptions!$C$17</f>
        <v>200</v>
      </c>
      <c r="I76" s="33" t="n">
        <f aca="false">$C76*Assumptions!$D$17</f>
        <v>30</v>
      </c>
      <c r="J76" s="33" t="n">
        <f aca="false">$C76*Assumptions!$E$17</f>
        <v>10</v>
      </c>
      <c r="K76" s="33" t="n">
        <f aca="false">$C76*Assumptions!$F$17</f>
        <v>10</v>
      </c>
      <c r="M76" s="33" t="n">
        <f aca="false">$C76*Assumptions!$G$17</f>
        <v>250</v>
      </c>
      <c r="O76" s="4" t="s">
        <v>224</v>
      </c>
      <c r="P76" s="31" t="n">
        <f aca="false">Assumptions!$C$11*Assumptions!$C$10</f>
        <v>115</v>
      </c>
      <c r="S76" s="43"/>
      <c r="T76" s="32" t="n">
        <f aca="false">$P76*Assumptions!$C$18</f>
        <v>115</v>
      </c>
      <c r="U76" s="33" t="n">
        <f aca="false">$P76*Assumptions!$D$18</f>
        <v>115</v>
      </c>
      <c r="V76" s="33" t="n">
        <f aca="false">$P76*Assumptions!$E$18</f>
        <v>0</v>
      </c>
      <c r="W76" s="33" t="n">
        <f aca="false">$P76*Assumptions!$F$18</f>
        <v>0</v>
      </c>
      <c r="Z76" s="33" t="n">
        <f aca="false">$P76*Assumptions!$G$18</f>
        <v>230</v>
      </c>
    </row>
    <row r="77" customFormat="false" ht="15" hidden="false" customHeight="false" outlineLevel="0" collapsed="false">
      <c r="B77" s="4" t="s">
        <v>248</v>
      </c>
      <c r="C77" s="31" t="n">
        <f aca="false">Assumptions!$C$5*Assumptions!$C$8</f>
        <v>200</v>
      </c>
      <c r="F77" s="43"/>
      <c r="G77" s="34"/>
      <c r="I77" s="33" t="n">
        <f aca="false">$C77*Assumptions!$C$17</f>
        <v>200</v>
      </c>
      <c r="J77" s="33" t="n">
        <f aca="false">$C77*Assumptions!$D$17</f>
        <v>30</v>
      </c>
      <c r="K77" s="33" t="n">
        <f aca="false">$C77*Assumptions!$E$17</f>
        <v>10</v>
      </c>
      <c r="L77" s="33" t="n">
        <f aca="false">$C77*Assumptions!$F$17</f>
        <v>10</v>
      </c>
      <c r="M77" s="33" t="n">
        <f aca="false">$C77*Assumptions!$G$17</f>
        <v>250</v>
      </c>
      <c r="O77" s="4" t="s">
        <v>247</v>
      </c>
      <c r="P77" s="31" t="n">
        <f aca="false">Assumptions!$C$11*Assumptions!$C$10</f>
        <v>115</v>
      </c>
      <c r="S77" s="43"/>
      <c r="T77" s="34"/>
      <c r="U77" s="33" t="n">
        <f aca="false">$P77*Assumptions!$C$18</f>
        <v>115</v>
      </c>
      <c r="V77" s="33" t="n">
        <f aca="false">$P77*Assumptions!$D$18</f>
        <v>115</v>
      </c>
      <c r="W77" s="33" t="n">
        <f aca="false">$P77*Assumptions!$E$18</f>
        <v>0</v>
      </c>
      <c r="X77" s="33" t="n">
        <f aca="false">$P77*Assumptions!$F$18</f>
        <v>0</v>
      </c>
      <c r="Z77" s="33" t="n">
        <f aca="false">$P77*Assumptions!$G$18</f>
        <v>230</v>
      </c>
    </row>
    <row r="78" customFormat="false" ht="15" hidden="false" customHeight="false" outlineLevel="0" collapsed="false">
      <c r="B78" s="4" t="s">
        <v>250</v>
      </c>
      <c r="C78" s="31" t="n">
        <f aca="false">Assumptions!$C$5*Assumptions!$C$8</f>
        <v>200</v>
      </c>
      <c r="F78" s="43"/>
      <c r="G78" s="34"/>
      <c r="J78" s="33" t="n">
        <f aca="false">$C78*Assumptions!$C$17</f>
        <v>200</v>
      </c>
      <c r="K78" s="33" t="n">
        <f aca="false">$C78*Assumptions!$D$17</f>
        <v>30</v>
      </c>
      <c r="L78" s="33" t="n">
        <f aca="false">$C78*Assumptions!$E$17</f>
        <v>10</v>
      </c>
      <c r="M78" s="33" t="n">
        <f aca="false">$C78*Assumptions!$G$17</f>
        <v>250</v>
      </c>
      <c r="O78" s="4" t="s">
        <v>249</v>
      </c>
      <c r="P78" s="31" t="n">
        <f aca="false">Assumptions!$C$11*Assumptions!$C$10</f>
        <v>115</v>
      </c>
      <c r="S78" s="43"/>
      <c r="T78" s="34"/>
      <c r="V78" s="33" t="n">
        <f aca="false">$P78*Assumptions!$C$18</f>
        <v>115</v>
      </c>
      <c r="W78" s="33" t="n">
        <f aca="false">$P78*Assumptions!$D$18</f>
        <v>115</v>
      </c>
      <c r="X78" s="33" t="n">
        <f aca="false">$P78*Assumptions!$E$18</f>
        <v>0</v>
      </c>
      <c r="Y78" s="33" t="n">
        <f aca="false">$P78*Assumptions!$F$18</f>
        <v>0</v>
      </c>
      <c r="Z78" s="33" t="n">
        <f aca="false">$P78*Assumptions!$G$18</f>
        <v>230</v>
      </c>
    </row>
    <row r="79" customFormat="false" ht="15" hidden="false" customHeight="false" outlineLevel="0" collapsed="false">
      <c r="B79" s="4" t="s">
        <v>252</v>
      </c>
      <c r="C79" s="31" t="n">
        <f aca="false">Assumptions!$C$5*Assumptions!$C$8</f>
        <v>200</v>
      </c>
      <c r="F79" s="43"/>
      <c r="G79" s="34"/>
      <c r="K79" s="33" t="n">
        <f aca="false">$C79*Assumptions!$C$17</f>
        <v>200</v>
      </c>
      <c r="L79" s="33" t="n">
        <f aca="false">$C79*Assumptions!$D$17</f>
        <v>30</v>
      </c>
      <c r="M79" s="33" t="n">
        <f aca="false">$C79*Assumptions!$G$17</f>
        <v>250</v>
      </c>
      <c r="O79" s="4" t="s">
        <v>251</v>
      </c>
      <c r="P79" s="31" t="n">
        <f aca="false">Assumptions!$C$11*Assumptions!$C$10</f>
        <v>115</v>
      </c>
      <c r="S79" s="43"/>
      <c r="T79" s="34"/>
      <c r="W79" s="33" t="n">
        <f aca="false">$P79*Assumptions!$C$18</f>
        <v>115</v>
      </c>
      <c r="X79" s="33" t="n">
        <f aca="false">$P79*Assumptions!$D$18</f>
        <v>115</v>
      </c>
      <c r="Y79" s="33" t="n">
        <f aca="false">$P79*Assumptions!$E$18</f>
        <v>0</v>
      </c>
      <c r="Z79" s="33" t="n">
        <f aca="false">$P79*Assumptions!$G$18</f>
        <v>230</v>
      </c>
    </row>
    <row r="80" customFormat="false" ht="15" hidden="false" customHeight="false" outlineLevel="0" collapsed="false">
      <c r="B80" s="4" t="s">
        <v>254</v>
      </c>
      <c r="C80" s="31" t="n">
        <f aca="false">Assumptions!$C$5*Assumptions!$C$8</f>
        <v>200</v>
      </c>
      <c r="F80" s="43"/>
      <c r="G80" s="34"/>
      <c r="L80" s="33" t="n">
        <f aca="false">$C80*Assumptions!$C$17</f>
        <v>200</v>
      </c>
      <c r="M80" s="33" t="n">
        <f aca="false">$C80*Assumptions!$G$17</f>
        <v>250</v>
      </c>
      <c r="O80" s="4" t="s">
        <v>253</v>
      </c>
      <c r="P80" s="31" t="n">
        <f aca="false">Assumptions!$C$11*Assumptions!$C$10</f>
        <v>115</v>
      </c>
      <c r="S80" s="43"/>
      <c r="T80" s="34"/>
      <c r="X80" s="33" t="n">
        <f aca="false">$P80*Assumptions!$C$18</f>
        <v>115</v>
      </c>
      <c r="Y80" s="33" t="n">
        <f aca="false">$P80*Assumptions!$D$18</f>
        <v>115</v>
      </c>
      <c r="Z80" s="33" t="n">
        <f aca="false">$P80*Assumptions!$G$18</f>
        <v>230</v>
      </c>
    </row>
    <row r="81" customFormat="false" ht="15" hidden="false" customHeight="false" outlineLevel="0" collapsed="false">
      <c r="B81" s="8" t="s">
        <v>203</v>
      </c>
      <c r="C81" s="8" t="s">
        <v>204</v>
      </c>
      <c r="D81" s="13" t="n">
        <f aca="false">D71+SUM(D72:D80)</f>
        <v>125</v>
      </c>
      <c r="E81" s="13" t="n">
        <f aca="false">E71+SUM(E72:E80)</f>
        <v>128.75</v>
      </c>
      <c r="F81" s="44" t="n">
        <f aca="false">F71+SUM(F72:F80)</f>
        <v>205</v>
      </c>
      <c r="G81" s="35" t="n">
        <f aca="false">G71+SUM(G72:G80)</f>
        <v>217.5</v>
      </c>
      <c r="H81" s="13" t="n">
        <f aca="false">H71+SUM(H72:H80)</f>
        <v>225</v>
      </c>
      <c r="I81" s="13" t="n">
        <f aca="false">I71+SUM(I72:I80)</f>
        <v>241.25</v>
      </c>
      <c r="J81" s="13" t="n">
        <f aca="false">J71+SUM(J72:J80)</f>
        <v>246.25</v>
      </c>
      <c r="K81" s="13" t="n">
        <f aca="false">K71+SUM(K72:K80)</f>
        <v>250</v>
      </c>
      <c r="L81" s="13" t="n">
        <f aca="false">L71+SUM(L72:L80)</f>
        <v>250</v>
      </c>
      <c r="M81" s="13" t="n">
        <f aca="false">SUM(M72:M80)</f>
        <v>1593.75</v>
      </c>
      <c r="O81" s="4" t="s">
        <v>255</v>
      </c>
      <c r="P81" s="31" t="n">
        <f aca="false">Assumptions!$C$11*Assumptions!$C$10</f>
        <v>115</v>
      </c>
      <c r="S81" s="43"/>
      <c r="T81" s="34"/>
      <c r="Y81" s="33" t="n">
        <f aca="false">$P81*Assumptions!$C$18</f>
        <v>115</v>
      </c>
      <c r="Z81" s="33" t="n">
        <f aca="false">$P81*Assumptions!$G$18</f>
        <v>230</v>
      </c>
    </row>
    <row r="82" customFormat="false" ht="15" hidden="false" customHeight="false" outlineLevel="0" collapsed="false">
      <c r="B82" s="2" t="s">
        <v>205</v>
      </c>
      <c r="D82" s="37" t="n">
        <f aca="false">D81/D70</f>
        <v>1</v>
      </c>
      <c r="E82" s="37" t="n">
        <f aca="false">E81/E70</f>
        <v>1.03</v>
      </c>
      <c r="F82" s="45" t="n">
        <f aca="false">F81/F70</f>
        <v>1.025</v>
      </c>
      <c r="G82" s="36" t="n">
        <f aca="false">G81/G70</f>
        <v>1.0875</v>
      </c>
      <c r="H82" s="37" t="n">
        <f aca="false">H81/H70</f>
        <v>1.8</v>
      </c>
      <c r="I82" s="37" t="n">
        <f aca="false">I81/I70</f>
        <v>1.93</v>
      </c>
      <c r="J82" s="37" t="n">
        <f aca="false">J81/J70</f>
        <v>1.97</v>
      </c>
      <c r="K82" s="37" t="n">
        <f aca="false">K81/K70</f>
        <v>2</v>
      </c>
      <c r="L82" s="37" t="n">
        <f aca="false">L81/L70</f>
        <v>2</v>
      </c>
      <c r="O82" s="8" t="s">
        <v>203</v>
      </c>
      <c r="P82" s="8" t="s">
        <v>204</v>
      </c>
      <c r="Q82" s="13" t="n">
        <f aca="false">Q71+SUM(Q72:Q81)</f>
        <v>125</v>
      </c>
      <c r="R82" s="13" t="n">
        <f aca="false">R71+SUM(R72:R81)</f>
        <v>125</v>
      </c>
      <c r="S82" s="44" t="n">
        <f aca="false">S71+SUM(S72:S81)</f>
        <v>230</v>
      </c>
      <c r="T82" s="35" t="n">
        <f aca="false">T71+SUM(T72:T81)</f>
        <v>230</v>
      </c>
      <c r="U82" s="13" t="n">
        <f aca="false">U71+SUM(U72:U81)</f>
        <v>230</v>
      </c>
      <c r="V82" s="13" t="n">
        <f aca="false">V71+SUM(V72:V81)</f>
        <v>230</v>
      </c>
      <c r="W82" s="13" t="n">
        <f aca="false">W71+SUM(W72:W81)</f>
        <v>230</v>
      </c>
      <c r="X82" s="13" t="n">
        <f aca="false">X71+SUM(X72:X81)</f>
        <v>230</v>
      </c>
      <c r="Y82" s="13" t="n">
        <f aca="false">Y71+SUM(Y72:Y81)</f>
        <v>230</v>
      </c>
      <c r="Z82" s="13" t="n">
        <f aca="false">SUM(Z72:Z81)</f>
        <v>1600</v>
      </c>
    </row>
    <row r="83" customFormat="false" ht="15" hidden="false" customHeight="false" outlineLevel="0" collapsed="false">
      <c r="B83" s="2" t="s">
        <v>206</v>
      </c>
      <c r="D83" s="39" t="n">
        <f aca="false">D81-Assumptions!$C$5</f>
        <v>25</v>
      </c>
      <c r="E83" s="39" t="n">
        <f aca="false">E81-D81</f>
        <v>3.75</v>
      </c>
      <c r="F83" s="46" t="n">
        <f aca="false">F81-E81</f>
        <v>76.25</v>
      </c>
      <c r="G83" s="38" t="n">
        <f aca="false">G81-F81</f>
        <v>12.5</v>
      </c>
      <c r="H83" s="39" t="n">
        <f aca="false">H81-G81</f>
        <v>7.5</v>
      </c>
      <c r="I83" s="39" t="n">
        <f aca="false">I81-H81</f>
        <v>16.25</v>
      </c>
      <c r="J83" s="39" t="n">
        <f aca="false">J81-I81</f>
        <v>5</v>
      </c>
      <c r="K83" s="39" t="n">
        <f aca="false">K81-J81</f>
        <v>3.75</v>
      </c>
      <c r="L83" s="39" t="n">
        <f aca="false">L81-K81</f>
        <v>0</v>
      </c>
      <c r="O83" s="2" t="s">
        <v>205</v>
      </c>
      <c r="Q83" s="37" t="n">
        <f aca="false">Q82/Q70</f>
        <v>1</v>
      </c>
      <c r="R83" s="37" t="n">
        <f aca="false">R82/R70</f>
        <v>1</v>
      </c>
      <c r="S83" s="45" t="n">
        <f aca="false">S82/S70</f>
        <v>1</v>
      </c>
      <c r="T83" s="36" t="n">
        <f aca="false">T82/T70</f>
        <v>1</v>
      </c>
      <c r="U83" s="37" t="n">
        <f aca="false">U82/U70</f>
        <v>1.84</v>
      </c>
      <c r="V83" s="37" t="n">
        <f aca="false">V82/V70</f>
        <v>1.84</v>
      </c>
      <c r="W83" s="37" t="n">
        <f aca="false">W82/W70</f>
        <v>1.84</v>
      </c>
      <c r="X83" s="37" t="n">
        <f aca="false">X82/X70</f>
        <v>1.84</v>
      </c>
      <c r="Y83" s="37" t="n">
        <f aca="false">Y82/Y70</f>
        <v>1.84</v>
      </c>
    </row>
    <row r="84" customFormat="false" ht="15" hidden="false" customHeight="false" outlineLevel="0" collapsed="false">
      <c r="F84" s="43"/>
      <c r="G84" s="34"/>
      <c r="O84" s="2" t="s">
        <v>206</v>
      </c>
      <c r="Q84" s="39" t="n">
        <f aca="false">Q82-Assumptions!$C$5</f>
        <v>25</v>
      </c>
      <c r="R84" s="39" t="n">
        <f aca="false">R82-Q82</f>
        <v>0</v>
      </c>
      <c r="S84" s="46" t="n">
        <f aca="false">S82-R82</f>
        <v>105</v>
      </c>
      <c r="T84" s="38" t="n">
        <f aca="false">T82-S82</f>
        <v>0</v>
      </c>
      <c r="U84" s="39" t="n">
        <f aca="false">U82-T82</f>
        <v>0</v>
      </c>
      <c r="V84" s="39" t="n">
        <f aca="false">V82-U82</f>
        <v>0</v>
      </c>
      <c r="W84" s="39" t="n">
        <f aca="false">W82-V82</f>
        <v>0</v>
      </c>
      <c r="X84" s="39" t="n">
        <f aca="false">X82-W82</f>
        <v>0</v>
      </c>
      <c r="Y84" s="39" t="n">
        <f aca="false">Y82-X82</f>
        <v>0</v>
      </c>
    </row>
    <row r="85" customFormat="false" ht="15" hidden="false" customHeight="false" outlineLevel="0" collapsed="false">
      <c r="S85" s="43"/>
      <c r="T85" s="34"/>
    </row>
    <row r="88" customFormat="false" ht="15" hidden="false" customHeight="false" outlineLevel="0" collapsed="false">
      <c r="B88" s="3" t="s">
        <v>228</v>
      </c>
    </row>
    <row r="89" customFormat="false" ht="15" hidden="false" customHeight="false" outlineLevel="0" collapsed="false">
      <c r="B89" s="2" t="s">
        <v>268</v>
      </c>
    </row>
    <row r="92" customFormat="false" ht="15" hidden="false" customHeight="false" outlineLevel="0" collapsed="false">
      <c r="B92" s="3" t="s">
        <v>235</v>
      </c>
    </row>
    <row r="93" customFormat="false" ht="15" hidden="false" customHeight="false" outlineLevel="0" collapsed="false">
      <c r="B93" s="2" t="s">
        <v>268</v>
      </c>
    </row>
    <row r="96" customFormat="false" ht="15" hidden="false" customHeight="false" outlineLevel="0" collapsed="false">
      <c r="B96" s="3" t="s">
        <v>236</v>
      </c>
    </row>
    <row r="97" customFormat="false" ht="15" hidden="false" customHeight="false" outlineLevel="0" collapsed="false">
      <c r="B97" s="5" t="s">
        <v>180</v>
      </c>
      <c r="C97" s="7" t="s">
        <v>181</v>
      </c>
      <c r="D97" s="7" t="s">
        <v>91</v>
      </c>
      <c r="E97" s="7" t="s">
        <v>92</v>
      </c>
      <c r="F97" s="7" t="s">
        <v>93</v>
      </c>
      <c r="G97" s="7" t="s">
        <v>94</v>
      </c>
      <c r="H97" s="7" t="s">
        <v>95</v>
      </c>
      <c r="I97" s="7" t="s">
        <v>96</v>
      </c>
      <c r="J97" s="7" t="s">
        <v>97</v>
      </c>
      <c r="K97" s="7" t="s">
        <v>98</v>
      </c>
      <c r="L97" s="7" t="s">
        <v>99</v>
      </c>
      <c r="M97" s="7" t="s">
        <v>100</v>
      </c>
      <c r="O97" s="25" t="s">
        <v>182</v>
      </c>
      <c r="P97" s="26" t="s">
        <v>181</v>
      </c>
      <c r="Q97" s="26" t="s">
        <v>91</v>
      </c>
      <c r="R97" s="26" t="s">
        <v>92</v>
      </c>
      <c r="S97" s="26" t="s">
        <v>93</v>
      </c>
      <c r="T97" s="26" t="s">
        <v>94</v>
      </c>
      <c r="U97" s="26" t="s">
        <v>95</v>
      </c>
      <c r="V97" s="26" t="s">
        <v>96</v>
      </c>
      <c r="W97" s="26" t="s">
        <v>97</v>
      </c>
      <c r="X97" s="26" t="s">
        <v>98</v>
      </c>
      <c r="Y97" s="26" t="s">
        <v>99</v>
      </c>
      <c r="Z97" s="26" t="s">
        <v>100</v>
      </c>
    </row>
    <row r="98" customFormat="false" ht="15" hidden="false" customHeight="false" outlineLevel="0" collapsed="false">
      <c r="B98" s="2" t="s">
        <v>183</v>
      </c>
      <c r="D98" s="40" t="n">
        <f aca="false">Assumptions!$C$5*Assumptions!$C$8</f>
        <v>200</v>
      </c>
      <c r="E98" s="27" t="n">
        <f aca="false">Assumptions!$C$5*Assumptions!$C$8</f>
        <v>200</v>
      </c>
      <c r="F98" s="28" t="n">
        <f aca="false">Assumptions!$C$5*Assumptions!$C$6</f>
        <v>125</v>
      </c>
      <c r="G98" s="28" t="n">
        <f aca="false">Assumptions!$C$5*Assumptions!$C$6</f>
        <v>125</v>
      </c>
      <c r="H98" s="28" t="n">
        <f aca="false">Assumptions!$C$5*Assumptions!$C$6</f>
        <v>125</v>
      </c>
      <c r="I98" s="28" t="n">
        <f aca="false">Assumptions!$C$5*Assumptions!$C$6</f>
        <v>125</v>
      </c>
      <c r="J98" s="28" t="n">
        <f aca="false">Assumptions!$C$5*Assumptions!$C$6</f>
        <v>125</v>
      </c>
      <c r="K98" s="28" t="n">
        <f aca="false">Assumptions!$C$5*Assumptions!$C$6</f>
        <v>125</v>
      </c>
      <c r="L98" s="28" t="n">
        <f aca="false">Assumptions!$C$5*Assumptions!$C$6</f>
        <v>125</v>
      </c>
      <c r="O98" s="2" t="s">
        <v>183</v>
      </c>
      <c r="Q98" s="40" t="n">
        <f aca="false">Assumptions!$C$10</f>
        <v>230</v>
      </c>
      <c r="R98" s="27" t="n">
        <f aca="false">Assumptions!$C$10</f>
        <v>230</v>
      </c>
      <c r="S98" s="28" t="n">
        <f aca="false">Assumptions!$C$5*Assumptions!$C$6</f>
        <v>125</v>
      </c>
      <c r="T98" s="28" t="n">
        <f aca="false">Assumptions!$C$5*Assumptions!$C$6</f>
        <v>125</v>
      </c>
      <c r="U98" s="28" t="n">
        <f aca="false">Assumptions!$C$5*Assumptions!$C$6</f>
        <v>125</v>
      </c>
      <c r="V98" s="28" t="n">
        <f aca="false">Assumptions!$C$5*Assumptions!$C$6</f>
        <v>125</v>
      </c>
      <c r="W98" s="28" t="n">
        <f aca="false">Assumptions!$C$5*Assumptions!$C$6</f>
        <v>125</v>
      </c>
      <c r="X98" s="28" t="n">
        <f aca="false">Assumptions!$C$5*Assumptions!$C$6</f>
        <v>125</v>
      </c>
      <c r="Y98" s="28" t="n">
        <f aca="false">Assumptions!$C$5*Assumptions!$C$6</f>
        <v>125</v>
      </c>
    </row>
    <row r="99" customFormat="false" ht="15" hidden="false" customHeight="false" outlineLevel="0" collapsed="false">
      <c r="B99" s="4" t="s">
        <v>184</v>
      </c>
      <c r="D99" s="41" t="n">
        <v>150</v>
      </c>
      <c r="E99" s="29" t="n">
        <v>125</v>
      </c>
      <c r="F99" s="30" t="n">
        <v>0</v>
      </c>
      <c r="G99" s="30" t="n">
        <v>0</v>
      </c>
      <c r="H99" s="30" t="n">
        <v>0</v>
      </c>
      <c r="I99" s="30" t="n">
        <v>0</v>
      </c>
      <c r="J99" s="30" t="n">
        <v>0</v>
      </c>
      <c r="K99" s="30" t="n">
        <v>0</v>
      </c>
      <c r="L99" s="30" t="n">
        <v>0</v>
      </c>
      <c r="O99" s="4" t="s">
        <v>184</v>
      </c>
      <c r="Q99" s="41" t="n">
        <v>150</v>
      </c>
      <c r="R99" s="29" t="n">
        <v>125</v>
      </c>
      <c r="S99" s="30" t="n">
        <v>0</v>
      </c>
      <c r="T99" s="30" t="n">
        <v>0</v>
      </c>
      <c r="U99" s="30" t="n">
        <v>0</v>
      </c>
      <c r="V99" s="30" t="n">
        <v>0</v>
      </c>
      <c r="W99" s="30" t="n">
        <v>0</v>
      </c>
      <c r="X99" s="30" t="n">
        <v>0</v>
      </c>
      <c r="Y99" s="30" t="n">
        <v>0</v>
      </c>
    </row>
    <row r="100" customFormat="false" ht="15" hidden="false" customHeight="false" outlineLevel="0" collapsed="false">
      <c r="B100" s="4" t="s">
        <v>258</v>
      </c>
      <c r="C100" s="31" t="n">
        <f aca="false">MAX(Assumptions!$C$5*Assumptions!$C$12,D98-(D99))</f>
        <v>50</v>
      </c>
      <c r="D100" s="42" t="n">
        <f aca="false">$C100*Assumptions!$C$23</f>
        <v>50</v>
      </c>
      <c r="E100" s="32" t="n">
        <f aca="false">$C100*Assumptions!$D$23</f>
        <v>7.5</v>
      </c>
      <c r="F100" s="33" t="n">
        <f aca="false">$C100*Assumptions!$E$23</f>
        <v>2.5</v>
      </c>
      <c r="G100" s="33" t="n">
        <f aca="false">$C100*Assumptions!$F$23</f>
        <v>2.5</v>
      </c>
      <c r="M100" s="33" t="n">
        <f aca="false">$C100*Assumptions!$G$23</f>
        <v>62.5</v>
      </c>
      <c r="O100" s="4" t="s">
        <v>271</v>
      </c>
      <c r="P100" s="31" t="n">
        <f aca="false">MAX(Assumptions!$C$5*Assumptions!$C$12,Q98-(Q99))</f>
        <v>80</v>
      </c>
      <c r="Q100" s="42" t="n">
        <f aca="false">$P100*Assumptions!$C$21</f>
        <v>80</v>
      </c>
      <c r="R100" s="32" t="n">
        <f aca="false">$P100*Assumptions!$D$21</f>
        <v>0</v>
      </c>
      <c r="S100" s="33" t="n">
        <f aca="false">$P100*Assumptions!$E$21</f>
        <v>0</v>
      </c>
      <c r="T100" s="33" t="n">
        <f aca="false">$P100*Assumptions!$F$21</f>
        <v>0</v>
      </c>
      <c r="Z100" s="33" t="n">
        <f aca="false">$P100*Assumptions!$G$21</f>
        <v>80</v>
      </c>
    </row>
    <row r="101" customFormat="false" ht="15" hidden="false" customHeight="false" outlineLevel="0" collapsed="false">
      <c r="B101" s="4" t="s">
        <v>272</v>
      </c>
      <c r="C101" s="31" t="n">
        <f aca="false">MAX(Assumptions!$C$5*Assumptions!$C$12,E98-(E99))</f>
        <v>75</v>
      </c>
      <c r="D101" s="43"/>
      <c r="E101" s="32" t="n">
        <f aca="false">$C101*Assumptions!$C$17</f>
        <v>75</v>
      </c>
      <c r="F101" s="33" t="n">
        <f aca="false">$C101*Assumptions!$D$17</f>
        <v>11.25</v>
      </c>
      <c r="G101" s="33" t="n">
        <f aca="false">$C101*Assumptions!$E$17</f>
        <v>3.75</v>
      </c>
      <c r="H101" s="33" t="n">
        <f aca="false">$C101*Assumptions!$F$17</f>
        <v>3.75</v>
      </c>
      <c r="M101" s="33" t="n">
        <f aca="false">$C101*Assumptions!$G$17</f>
        <v>93.75</v>
      </c>
      <c r="O101" s="4" t="s">
        <v>238</v>
      </c>
      <c r="P101" s="31" t="n">
        <f aca="false">MAX(Assumptions!$C$5*Assumptions!$C$12,R98-(R99))</f>
        <v>105</v>
      </c>
      <c r="Q101" s="43"/>
      <c r="R101" s="32" t="n">
        <f aca="false">$P101*Assumptions!$C$21</f>
        <v>105</v>
      </c>
      <c r="S101" s="33" t="n">
        <f aca="false">$P101*Assumptions!$D$21</f>
        <v>0</v>
      </c>
      <c r="T101" s="33" t="n">
        <f aca="false">$P101*Assumptions!$E$21</f>
        <v>0</v>
      </c>
      <c r="U101" s="33" t="n">
        <f aca="false">$P101*Assumptions!$F$21</f>
        <v>0</v>
      </c>
      <c r="Z101" s="33" t="n">
        <f aca="false">$P101*Assumptions!$G$21</f>
        <v>105</v>
      </c>
    </row>
    <row r="102" customFormat="false" ht="15" hidden="false" customHeight="false" outlineLevel="0" collapsed="false">
      <c r="B102" s="4" t="s">
        <v>261</v>
      </c>
      <c r="C102" s="31" t="n">
        <f aca="false">Assumptions!$C$5*Assumptions!$C$8</f>
        <v>200</v>
      </c>
      <c r="D102" s="43"/>
      <c r="E102" s="34"/>
      <c r="F102" s="33" t="n">
        <f aca="false">$C102*Assumptions!$C$17</f>
        <v>200</v>
      </c>
      <c r="G102" s="33" t="n">
        <f aca="false">$C102*Assumptions!$D$17</f>
        <v>30</v>
      </c>
      <c r="H102" s="33" t="n">
        <f aca="false">$C102*Assumptions!$E$17</f>
        <v>10</v>
      </c>
      <c r="I102" s="33" t="n">
        <f aca="false">$C102*Assumptions!$F$17</f>
        <v>10</v>
      </c>
      <c r="M102" s="33" t="n">
        <f aca="false">$C102*Assumptions!$G$17</f>
        <v>250</v>
      </c>
      <c r="O102" s="4" t="s">
        <v>266</v>
      </c>
      <c r="P102" s="31" t="n">
        <f aca="false">Assumptions!$C$10</f>
        <v>230</v>
      </c>
      <c r="Q102" s="43"/>
      <c r="R102" s="32" t="n">
        <f aca="false">$P102*Assumptions!$C$20</f>
        <v>0</v>
      </c>
      <c r="S102" s="33" t="n">
        <f aca="false">$P102*Assumptions!$D$20</f>
        <v>230</v>
      </c>
      <c r="T102" s="33" t="n">
        <f aca="false">$P102*Assumptions!$E$20</f>
        <v>115</v>
      </c>
      <c r="U102" s="33" t="n">
        <f aca="false">$P102*Assumptions!$F$20</f>
        <v>0</v>
      </c>
      <c r="Z102" s="33" t="n">
        <f aca="false">$P102*Assumptions!$G$20</f>
        <v>345</v>
      </c>
    </row>
    <row r="103" customFormat="false" ht="15" hidden="false" customHeight="false" outlineLevel="0" collapsed="false">
      <c r="B103" s="4" t="s">
        <v>244</v>
      </c>
      <c r="C103" s="31" t="n">
        <f aca="false">Assumptions!$C$5*Assumptions!$C$8</f>
        <v>200</v>
      </c>
      <c r="D103" s="43"/>
      <c r="E103" s="34"/>
      <c r="G103" s="33" t="n">
        <f aca="false">$C103*Assumptions!$C$17</f>
        <v>200</v>
      </c>
      <c r="H103" s="33" t="n">
        <f aca="false">$C103*Assumptions!$D$17</f>
        <v>30</v>
      </c>
      <c r="I103" s="33" t="n">
        <f aca="false">$C103*Assumptions!$E$17</f>
        <v>10</v>
      </c>
      <c r="J103" s="33" t="n">
        <f aca="false">$C103*Assumptions!$F$17</f>
        <v>10</v>
      </c>
      <c r="M103" s="33" t="n">
        <f aca="false">$C103*Assumptions!$G$17</f>
        <v>250</v>
      </c>
      <c r="O103" s="4" t="s">
        <v>264</v>
      </c>
      <c r="P103" s="31" t="n">
        <f aca="false">Assumptions!$C$11*Assumptions!$C$10</f>
        <v>115</v>
      </c>
      <c r="Q103" s="43"/>
      <c r="R103" s="34"/>
      <c r="T103" s="33" t="n">
        <f aca="false">$P103*Assumptions!$C$18</f>
        <v>115</v>
      </c>
      <c r="U103" s="33" t="n">
        <f aca="false">$P103*Assumptions!$D$18</f>
        <v>115</v>
      </c>
      <c r="V103" s="33" t="n">
        <f aca="false">$P103*Assumptions!$E$18</f>
        <v>0</v>
      </c>
      <c r="W103" s="33" t="n">
        <f aca="false">$P103*Assumptions!$F$18</f>
        <v>0</v>
      </c>
      <c r="Z103" s="33" t="n">
        <f aca="false">$P103*Assumptions!$G$18</f>
        <v>230</v>
      </c>
    </row>
    <row r="104" customFormat="false" ht="15" hidden="false" customHeight="false" outlineLevel="0" collapsed="false">
      <c r="B104" s="4" t="s">
        <v>246</v>
      </c>
      <c r="C104" s="31" t="n">
        <f aca="false">Assumptions!$C$5*Assumptions!$C$8</f>
        <v>200</v>
      </c>
      <c r="D104" s="43"/>
      <c r="E104" s="34"/>
      <c r="H104" s="33" t="n">
        <f aca="false">$C104*Assumptions!$C$17</f>
        <v>200</v>
      </c>
      <c r="I104" s="33" t="n">
        <f aca="false">$C104*Assumptions!$D$17</f>
        <v>30</v>
      </c>
      <c r="J104" s="33" t="n">
        <f aca="false">$C104*Assumptions!$E$17</f>
        <v>10</v>
      </c>
      <c r="K104" s="33" t="n">
        <f aca="false">$C104*Assumptions!$F$17</f>
        <v>10</v>
      </c>
      <c r="M104" s="33" t="n">
        <f aca="false">$C104*Assumptions!$G$17</f>
        <v>250</v>
      </c>
      <c r="O104" s="4" t="s">
        <v>247</v>
      </c>
      <c r="P104" s="31" t="n">
        <f aca="false">Assumptions!$C$11*Assumptions!$C$10</f>
        <v>115</v>
      </c>
      <c r="Q104" s="43"/>
      <c r="R104" s="34"/>
      <c r="U104" s="33" t="n">
        <f aca="false">$P104*Assumptions!$C$18</f>
        <v>115</v>
      </c>
      <c r="V104" s="33" t="n">
        <f aca="false">$P104*Assumptions!$D$18</f>
        <v>115</v>
      </c>
      <c r="W104" s="33" t="n">
        <f aca="false">$P104*Assumptions!$E$18</f>
        <v>0</v>
      </c>
      <c r="X104" s="33" t="n">
        <f aca="false">$P104*Assumptions!$F$18</f>
        <v>0</v>
      </c>
      <c r="Z104" s="33" t="n">
        <f aca="false">$P104*Assumptions!$G$18</f>
        <v>230</v>
      </c>
    </row>
    <row r="105" customFormat="false" ht="15" hidden="false" customHeight="false" outlineLevel="0" collapsed="false">
      <c r="B105" s="4" t="s">
        <v>248</v>
      </c>
      <c r="C105" s="31" t="n">
        <f aca="false">Assumptions!$C$5*Assumptions!$C$8</f>
        <v>200</v>
      </c>
      <c r="D105" s="43"/>
      <c r="E105" s="34"/>
      <c r="I105" s="33" t="n">
        <f aca="false">$C105*Assumptions!$C$17</f>
        <v>200</v>
      </c>
      <c r="J105" s="33" t="n">
        <f aca="false">$C105*Assumptions!$D$17</f>
        <v>30</v>
      </c>
      <c r="K105" s="33" t="n">
        <f aca="false">$C105*Assumptions!$E$17</f>
        <v>10</v>
      </c>
      <c r="L105" s="33" t="n">
        <f aca="false">$C105*Assumptions!$F$17</f>
        <v>10</v>
      </c>
      <c r="M105" s="33" t="n">
        <f aca="false">$C105*Assumptions!$G$17</f>
        <v>250</v>
      </c>
      <c r="O105" s="4" t="s">
        <v>249</v>
      </c>
      <c r="P105" s="31" t="n">
        <f aca="false">Assumptions!$C$11*Assumptions!$C$10</f>
        <v>115</v>
      </c>
      <c r="Q105" s="43"/>
      <c r="R105" s="34"/>
      <c r="V105" s="33" t="n">
        <f aca="false">$P105*Assumptions!$C$18</f>
        <v>115</v>
      </c>
      <c r="W105" s="33" t="n">
        <f aca="false">$P105*Assumptions!$D$18</f>
        <v>115</v>
      </c>
      <c r="X105" s="33" t="n">
        <f aca="false">$P105*Assumptions!$E$18</f>
        <v>0</v>
      </c>
      <c r="Y105" s="33" t="n">
        <f aca="false">$P105*Assumptions!$F$18</f>
        <v>0</v>
      </c>
      <c r="Z105" s="33" t="n">
        <f aca="false">$P105*Assumptions!$G$18</f>
        <v>230</v>
      </c>
    </row>
    <row r="106" customFormat="false" ht="15" hidden="false" customHeight="false" outlineLevel="0" collapsed="false">
      <c r="B106" s="4" t="s">
        <v>250</v>
      </c>
      <c r="C106" s="31" t="n">
        <f aca="false">Assumptions!$C$5*Assumptions!$C$8</f>
        <v>200</v>
      </c>
      <c r="D106" s="43"/>
      <c r="E106" s="34"/>
      <c r="J106" s="33" t="n">
        <f aca="false">$C106*Assumptions!$C$17</f>
        <v>200</v>
      </c>
      <c r="K106" s="33" t="n">
        <f aca="false">$C106*Assumptions!$D$17</f>
        <v>30</v>
      </c>
      <c r="L106" s="33" t="n">
        <f aca="false">$C106*Assumptions!$E$17</f>
        <v>10</v>
      </c>
      <c r="M106" s="33" t="n">
        <f aca="false">$C106*Assumptions!$G$17</f>
        <v>250</v>
      </c>
      <c r="O106" s="4" t="s">
        <v>251</v>
      </c>
      <c r="P106" s="31" t="n">
        <f aca="false">Assumptions!$C$11*Assumptions!$C$10</f>
        <v>115</v>
      </c>
      <c r="Q106" s="43"/>
      <c r="R106" s="34"/>
      <c r="W106" s="33" t="n">
        <f aca="false">$P106*Assumptions!$C$18</f>
        <v>115</v>
      </c>
      <c r="X106" s="33" t="n">
        <f aca="false">$P106*Assumptions!$D$18</f>
        <v>115</v>
      </c>
      <c r="Y106" s="33" t="n">
        <f aca="false">$P106*Assumptions!$E$18</f>
        <v>0</v>
      </c>
      <c r="Z106" s="33" t="n">
        <f aca="false">$P106*Assumptions!$G$18</f>
        <v>230</v>
      </c>
    </row>
    <row r="107" customFormat="false" ht="15" hidden="false" customHeight="false" outlineLevel="0" collapsed="false">
      <c r="B107" s="4" t="s">
        <v>252</v>
      </c>
      <c r="C107" s="31" t="n">
        <f aca="false">Assumptions!$C$5*Assumptions!$C$8</f>
        <v>200</v>
      </c>
      <c r="D107" s="43"/>
      <c r="E107" s="34"/>
      <c r="K107" s="33" t="n">
        <f aca="false">$C107*Assumptions!$C$17</f>
        <v>200</v>
      </c>
      <c r="L107" s="33" t="n">
        <f aca="false">$C107*Assumptions!$D$17</f>
        <v>30</v>
      </c>
      <c r="M107" s="33" t="n">
        <f aca="false">$C107*Assumptions!$G$17</f>
        <v>250</v>
      </c>
      <c r="O107" s="4" t="s">
        <v>253</v>
      </c>
      <c r="P107" s="31" t="n">
        <f aca="false">Assumptions!$C$11*Assumptions!$C$10</f>
        <v>115</v>
      </c>
      <c r="Q107" s="43"/>
      <c r="R107" s="34"/>
      <c r="X107" s="33" t="n">
        <f aca="false">$P107*Assumptions!$C$18</f>
        <v>115</v>
      </c>
      <c r="Y107" s="33" t="n">
        <f aca="false">$P107*Assumptions!$D$18</f>
        <v>115</v>
      </c>
      <c r="Z107" s="33" t="n">
        <f aca="false">$P107*Assumptions!$G$18</f>
        <v>230</v>
      </c>
    </row>
    <row r="108" customFormat="false" ht="15" hidden="false" customHeight="false" outlineLevel="0" collapsed="false">
      <c r="B108" s="4" t="s">
        <v>254</v>
      </c>
      <c r="C108" s="31" t="n">
        <f aca="false">Assumptions!$C$5*Assumptions!$C$8</f>
        <v>200</v>
      </c>
      <c r="D108" s="43"/>
      <c r="E108" s="34"/>
      <c r="L108" s="33" t="n">
        <f aca="false">$C108*Assumptions!$C$17</f>
        <v>200</v>
      </c>
      <c r="M108" s="33" t="n">
        <f aca="false">$C108*Assumptions!$G$17</f>
        <v>250</v>
      </c>
      <c r="O108" s="4" t="s">
        <v>255</v>
      </c>
      <c r="P108" s="31" t="n">
        <f aca="false">Assumptions!$C$11*Assumptions!$C$10</f>
        <v>115</v>
      </c>
      <c r="Q108" s="43"/>
      <c r="R108" s="34"/>
      <c r="Y108" s="33" t="n">
        <f aca="false">$P108*Assumptions!$C$18</f>
        <v>115</v>
      </c>
      <c r="Z108" s="33" t="n">
        <f aca="false">$P108*Assumptions!$G$18</f>
        <v>230</v>
      </c>
    </row>
    <row r="109" customFormat="false" ht="15" hidden="false" customHeight="false" outlineLevel="0" collapsed="false">
      <c r="B109" s="8" t="s">
        <v>203</v>
      </c>
      <c r="C109" s="8" t="s">
        <v>204</v>
      </c>
      <c r="D109" s="44" t="n">
        <f aca="false">D99+SUM(D100:D108)</f>
        <v>200</v>
      </c>
      <c r="E109" s="35" t="n">
        <f aca="false">E99+SUM(E100:E108)</f>
        <v>207.5</v>
      </c>
      <c r="F109" s="13" t="n">
        <f aca="false">F99+SUM(F100:F108)</f>
        <v>213.75</v>
      </c>
      <c r="G109" s="13" t="n">
        <f aca="false">G99+SUM(G100:G108)</f>
        <v>236.25</v>
      </c>
      <c r="H109" s="13" t="n">
        <f aca="false">H99+SUM(H100:H108)</f>
        <v>243.75</v>
      </c>
      <c r="I109" s="13" t="n">
        <f aca="false">I99+SUM(I100:I108)</f>
        <v>250</v>
      </c>
      <c r="J109" s="13" t="n">
        <f aca="false">J99+SUM(J100:J108)</f>
        <v>250</v>
      </c>
      <c r="K109" s="13" t="n">
        <f aca="false">K99+SUM(K100:K108)</f>
        <v>250</v>
      </c>
      <c r="L109" s="13" t="n">
        <f aca="false">L99+SUM(L100:L108)</f>
        <v>250</v>
      </c>
      <c r="M109" s="13" t="n">
        <f aca="false">SUM(M100:M108)</f>
        <v>1906.25</v>
      </c>
      <c r="O109" s="8" t="s">
        <v>203</v>
      </c>
      <c r="P109" s="8" t="s">
        <v>204</v>
      </c>
      <c r="Q109" s="44" t="n">
        <f aca="false">Q99+SUM(Q100:Q108)</f>
        <v>230</v>
      </c>
      <c r="R109" s="35" t="n">
        <f aca="false">R99+SUM(R100:R108)</f>
        <v>230</v>
      </c>
      <c r="S109" s="13" t="n">
        <f aca="false">S99+SUM(S100:S108)</f>
        <v>230</v>
      </c>
      <c r="T109" s="13" t="n">
        <f aca="false">T99+SUM(T100:T108)</f>
        <v>230</v>
      </c>
      <c r="U109" s="13" t="n">
        <f aca="false">U99+SUM(U100:U108)</f>
        <v>230</v>
      </c>
      <c r="V109" s="13" t="n">
        <f aca="false">V99+SUM(V100:V108)</f>
        <v>230</v>
      </c>
      <c r="W109" s="13" t="n">
        <f aca="false">W99+SUM(W100:W108)</f>
        <v>230</v>
      </c>
      <c r="X109" s="13" t="n">
        <f aca="false">X99+SUM(X100:X108)</f>
        <v>230</v>
      </c>
      <c r="Y109" s="13" t="n">
        <f aca="false">Y99+SUM(Y100:Y108)</f>
        <v>230</v>
      </c>
      <c r="Z109" s="13" t="n">
        <f aca="false">SUM(Z100:Z108)</f>
        <v>1910</v>
      </c>
    </row>
    <row r="110" customFormat="false" ht="15" hidden="false" customHeight="false" outlineLevel="0" collapsed="false">
      <c r="B110" s="2" t="s">
        <v>205</v>
      </c>
      <c r="D110" s="45" t="n">
        <f aca="false">D109/D98</f>
        <v>1</v>
      </c>
      <c r="E110" s="36" t="n">
        <f aca="false">E109/E98</f>
        <v>1.0375</v>
      </c>
      <c r="F110" s="37" t="n">
        <f aca="false">F109/F98</f>
        <v>1.71</v>
      </c>
      <c r="G110" s="37" t="n">
        <f aca="false">G109/G98</f>
        <v>1.89</v>
      </c>
      <c r="H110" s="37" t="n">
        <f aca="false">H109/H98</f>
        <v>1.95</v>
      </c>
      <c r="I110" s="37" t="n">
        <f aca="false">I109/I98</f>
        <v>2</v>
      </c>
      <c r="J110" s="37" t="n">
        <f aca="false">J109/J98</f>
        <v>2</v>
      </c>
      <c r="K110" s="37" t="n">
        <f aca="false">K109/K98</f>
        <v>2</v>
      </c>
      <c r="L110" s="37" t="n">
        <f aca="false">L109/L98</f>
        <v>2</v>
      </c>
      <c r="O110" s="2" t="s">
        <v>205</v>
      </c>
      <c r="Q110" s="45" t="n">
        <f aca="false">Q109/Q98</f>
        <v>1</v>
      </c>
      <c r="R110" s="36" t="n">
        <f aca="false">R109/R98</f>
        <v>1</v>
      </c>
      <c r="S110" s="37" t="n">
        <f aca="false">S109/S98</f>
        <v>1.84</v>
      </c>
      <c r="T110" s="37" t="n">
        <f aca="false">T109/T98</f>
        <v>1.84</v>
      </c>
      <c r="U110" s="37" t="n">
        <f aca="false">U109/U98</f>
        <v>1.84</v>
      </c>
      <c r="V110" s="37" t="n">
        <f aca="false">V109/V98</f>
        <v>1.84</v>
      </c>
      <c r="W110" s="37" t="n">
        <f aca="false">W109/W98</f>
        <v>1.84</v>
      </c>
      <c r="X110" s="37" t="n">
        <f aca="false">X109/X98</f>
        <v>1.84</v>
      </c>
      <c r="Y110" s="37" t="n">
        <f aca="false">Y109/Y98</f>
        <v>1.84</v>
      </c>
    </row>
    <row r="111" customFormat="false" ht="15" hidden="false" customHeight="false" outlineLevel="0" collapsed="false">
      <c r="B111" s="2" t="s">
        <v>206</v>
      </c>
      <c r="D111" s="46" t="n">
        <f aca="false">D109-Assumptions!$C$5</f>
        <v>100</v>
      </c>
      <c r="E111" s="38" t="n">
        <f aca="false">E109-D109</f>
        <v>7.5</v>
      </c>
      <c r="F111" s="39" t="n">
        <f aca="false">F109-E109</f>
        <v>6.25</v>
      </c>
      <c r="G111" s="39" t="n">
        <f aca="false">G109-F109</f>
        <v>22.5</v>
      </c>
      <c r="H111" s="39" t="n">
        <f aca="false">H109-G109</f>
        <v>7.5</v>
      </c>
      <c r="I111" s="39" t="n">
        <f aca="false">I109-H109</f>
        <v>6.25</v>
      </c>
      <c r="J111" s="39" t="n">
        <f aca="false">J109-I109</f>
        <v>0</v>
      </c>
      <c r="K111" s="39" t="n">
        <f aca="false">K109-J109</f>
        <v>0</v>
      </c>
      <c r="L111" s="39" t="n">
        <f aca="false">L109-K109</f>
        <v>0</v>
      </c>
      <c r="O111" s="2" t="s">
        <v>206</v>
      </c>
      <c r="Q111" s="46" t="n">
        <f aca="false">Q109-Assumptions!$C$5</f>
        <v>130</v>
      </c>
      <c r="R111" s="38" t="n">
        <f aca="false">R109-Q109</f>
        <v>0</v>
      </c>
      <c r="S111" s="39" t="n">
        <f aca="false">S109-R109</f>
        <v>0</v>
      </c>
      <c r="T111" s="39" t="n">
        <f aca="false">T109-S109</f>
        <v>0</v>
      </c>
      <c r="U111" s="39" t="n">
        <f aca="false">U109-T109</f>
        <v>0</v>
      </c>
      <c r="V111" s="39" t="n">
        <f aca="false">V109-U109</f>
        <v>0</v>
      </c>
      <c r="W111" s="39" t="n">
        <f aca="false">W109-V109</f>
        <v>0</v>
      </c>
      <c r="X111" s="39" t="n">
        <f aca="false">X109-W109</f>
        <v>0</v>
      </c>
      <c r="Y111" s="39" t="n">
        <f aca="false">Y109-X109</f>
        <v>0</v>
      </c>
    </row>
    <row r="112" customFormat="false" ht="15" hidden="false" customHeight="false" outlineLevel="0" collapsed="false">
      <c r="D112" s="43"/>
      <c r="E112" s="34"/>
      <c r="Q112" s="43"/>
      <c r="R112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2" min="3" style="0" width="8"/>
    <col collapsed="false" customWidth="true" hidden="false" outlineLevel="0" max="13" min="13" style="0" width="8.5"/>
    <col collapsed="false" customWidth="true" hidden="false" outlineLevel="0" max="14" min="14" style="0" width="2"/>
    <col collapsed="false" customWidth="true" hidden="false" outlineLevel="0" max="15" min="15" style="0" width="34"/>
    <col collapsed="false" customWidth="true" hidden="false" outlineLevel="0" max="25" min="16" style="0" width="8"/>
    <col collapsed="false" customWidth="true" hidden="false" outlineLevel="0" max="26" min="26" style="0" width="8.5"/>
  </cols>
  <sheetData>
    <row r="2" customFormat="false" ht="17.35" hidden="false" customHeight="false" outlineLevel="0" collapsed="false">
      <c r="B2" s="1" t="s">
        <v>273</v>
      </c>
    </row>
    <row r="3" customFormat="false" ht="15" hidden="false" customHeight="false" outlineLevel="0" collapsed="false">
      <c r="B3" s="2" t="s">
        <v>178</v>
      </c>
    </row>
    <row r="5" customFormat="false" ht="15" hidden="false" customHeight="false" outlineLevel="0" collapsed="false">
      <c r="B5" s="3" t="s">
        <v>179</v>
      </c>
    </row>
    <row r="6" customFormat="false" ht="15" hidden="false" customHeight="false" outlineLevel="0" collapsed="false">
      <c r="B6" s="5" t="s">
        <v>180</v>
      </c>
      <c r="C6" s="7" t="s">
        <v>181</v>
      </c>
      <c r="D6" s="7" t="s">
        <v>91</v>
      </c>
      <c r="E6" s="7" t="s">
        <v>92</v>
      </c>
      <c r="F6" s="7" t="s">
        <v>93</v>
      </c>
      <c r="G6" s="7" t="s">
        <v>94</v>
      </c>
      <c r="H6" s="7" t="s">
        <v>95</v>
      </c>
      <c r="I6" s="7" t="s">
        <v>96</v>
      </c>
      <c r="J6" s="7" t="s">
        <v>97</v>
      </c>
      <c r="K6" s="7" t="s">
        <v>98</v>
      </c>
      <c r="L6" s="7" t="s">
        <v>99</v>
      </c>
      <c r="M6" s="7" t="s">
        <v>100</v>
      </c>
      <c r="O6" s="25" t="s">
        <v>182</v>
      </c>
      <c r="P6" s="26" t="s">
        <v>181</v>
      </c>
      <c r="Q6" s="26" t="s">
        <v>91</v>
      </c>
      <c r="R6" s="26" t="s">
        <v>92</v>
      </c>
      <c r="S6" s="26" t="s">
        <v>93</v>
      </c>
      <c r="T6" s="26" t="s">
        <v>94</v>
      </c>
      <c r="U6" s="26" t="s">
        <v>95</v>
      </c>
      <c r="V6" s="26" t="s">
        <v>96</v>
      </c>
      <c r="W6" s="26" t="s">
        <v>97</v>
      </c>
      <c r="X6" s="26" t="s">
        <v>98</v>
      </c>
      <c r="Y6" s="26" t="s">
        <v>99</v>
      </c>
      <c r="Z6" s="26" t="s">
        <v>100</v>
      </c>
    </row>
    <row r="7" customFormat="false" ht="15" hidden="false" customHeight="false" outlineLevel="0" collapsed="false">
      <c r="B7" s="2" t="s">
        <v>183</v>
      </c>
      <c r="D7" s="27" t="n">
        <f aca="false">Assumptions!$C$5*Assumptions!$C$6</f>
        <v>125</v>
      </c>
      <c r="E7" s="28" t="n">
        <f aca="false">Assumptions!$C$5*Assumptions!$C$6</f>
        <v>125</v>
      </c>
      <c r="F7" s="28" t="n">
        <f aca="false">Assumptions!$C$5*Assumptions!$C$6</f>
        <v>125</v>
      </c>
      <c r="G7" s="28" t="n">
        <f aca="false">Assumptions!$C$5*Assumptions!$C$7</f>
        <v>150</v>
      </c>
      <c r="H7" s="28" t="n">
        <f aca="false">Assumptions!$C$5*Assumptions!$C$6</f>
        <v>125</v>
      </c>
      <c r="I7" s="28" t="n">
        <f aca="false">Assumptions!$C$5*Assumptions!$C$6</f>
        <v>125</v>
      </c>
      <c r="J7" s="28" t="n">
        <f aca="false">Assumptions!$C$5*Assumptions!$C$6</f>
        <v>125</v>
      </c>
      <c r="K7" s="28" t="n">
        <f aca="false">Assumptions!$C$5*Assumptions!$C$6</f>
        <v>125</v>
      </c>
      <c r="L7" s="28" t="n">
        <f aca="false">Assumptions!$C$5*Assumptions!$C$6</f>
        <v>125</v>
      </c>
      <c r="O7" s="2" t="s">
        <v>183</v>
      </c>
      <c r="Q7" s="27" t="n">
        <f aca="false">Assumptions!$C$5*Assumptions!$C$6</f>
        <v>125</v>
      </c>
      <c r="R7" s="28" t="n">
        <f aca="false">Assumptions!$C$5*Assumptions!$C$6</f>
        <v>125</v>
      </c>
      <c r="S7" s="28" t="n">
        <f aca="false">Assumptions!$C$5*Assumptions!$C$6</f>
        <v>125</v>
      </c>
      <c r="T7" s="28" t="n">
        <f aca="false">Assumptions!$C$5*Assumptions!$C$7</f>
        <v>150</v>
      </c>
      <c r="U7" s="28" t="n">
        <f aca="false">Assumptions!$C$5*Assumptions!$C$6</f>
        <v>125</v>
      </c>
      <c r="V7" s="28" t="n">
        <f aca="false">Assumptions!$C$5*Assumptions!$C$6</f>
        <v>125</v>
      </c>
      <c r="W7" s="28" t="n">
        <f aca="false">Assumptions!$C$5*Assumptions!$C$6</f>
        <v>125</v>
      </c>
      <c r="X7" s="28" t="n">
        <f aca="false">Assumptions!$C$5*Assumptions!$C$6</f>
        <v>125</v>
      </c>
      <c r="Y7" s="28" t="n">
        <f aca="false">Assumptions!$C$5*Assumptions!$C$6</f>
        <v>125</v>
      </c>
    </row>
    <row r="8" customFormat="false" ht="15" hidden="false" customHeight="false" outlineLevel="0" collapsed="false">
      <c r="B8" s="4" t="s">
        <v>184</v>
      </c>
      <c r="D8" s="29" t="n">
        <v>0</v>
      </c>
      <c r="E8" s="30" t="n">
        <v>0</v>
      </c>
      <c r="F8" s="30" t="n">
        <v>0</v>
      </c>
      <c r="G8" s="30" t="n">
        <v>0</v>
      </c>
      <c r="H8" s="30" t="n">
        <v>0</v>
      </c>
      <c r="I8" s="30" t="n">
        <v>0</v>
      </c>
      <c r="J8" s="30" t="n">
        <v>0</v>
      </c>
      <c r="K8" s="30" t="n">
        <v>0</v>
      </c>
      <c r="L8" s="30" t="n">
        <v>0</v>
      </c>
      <c r="O8" s="4" t="s">
        <v>184</v>
      </c>
      <c r="Q8" s="29" t="n">
        <v>0</v>
      </c>
      <c r="R8" s="30" t="n">
        <v>0</v>
      </c>
      <c r="S8" s="30" t="n">
        <v>0</v>
      </c>
      <c r="T8" s="30" t="n">
        <v>0</v>
      </c>
      <c r="U8" s="30" t="n">
        <v>0</v>
      </c>
      <c r="V8" s="30" t="n">
        <v>0</v>
      </c>
      <c r="W8" s="30" t="n">
        <v>0</v>
      </c>
      <c r="X8" s="30" t="n">
        <v>0</v>
      </c>
      <c r="Y8" s="30" t="n">
        <v>0</v>
      </c>
    </row>
    <row r="9" customFormat="false" ht="15" hidden="false" customHeight="false" outlineLevel="0" collapsed="false">
      <c r="B9" s="4" t="s">
        <v>185</v>
      </c>
      <c r="C9" s="31" t="n">
        <f aca="false">Assumptions!$C$5</f>
        <v>100</v>
      </c>
      <c r="D9" s="32" t="n">
        <f aca="false">$C9*Assumptions!$C$17</f>
        <v>100</v>
      </c>
      <c r="E9" s="33" t="n">
        <f aca="false">$C9*Assumptions!$D$17</f>
        <v>15</v>
      </c>
      <c r="F9" s="33" t="n">
        <f aca="false">$C9*Assumptions!$E$17</f>
        <v>5</v>
      </c>
      <c r="G9" s="33" t="n">
        <f aca="false">$C9*Assumptions!$F$17</f>
        <v>5</v>
      </c>
      <c r="M9" s="33" t="n">
        <f aca="false">$C9*Assumptions!$G$17</f>
        <v>125</v>
      </c>
      <c r="O9" s="4" t="s">
        <v>186</v>
      </c>
      <c r="P9" s="31" t="n">
        <f aca="false">Assumptions!$C$5*Assumptions!$C$9</f>
        <v>115</v>
      </c>
      <c r="Q9" s="32" t="n">
        <f aca="false">$P9*Assumptions!$C$19</f>
        <v>115</v>
      </c>
      <c r="R9" s="33" t="n">
        <f aca="false">$P9*Assumptions!$D$19</f>
        <v>57.5</v>
      </c>
      <c r="S9" s="33" t="n">
        <f aca="false">$P9*Assumptions!$E$19</f>
        <v>0</v>
      </c>
      <c r="T9" s="33" t="n">
        <f aca="false">$P9*Assumptions!$F$19</f>
        <v>0</v>
      </c>
      <c r="Z9" s="33" t="n">
        <f aca="false">$P9*Assumptions!$G$19</f>
        <v>172.5</v>
      </c>
    </row>
    <row r="10" customFormat="false" ht="15" hidden="false" customHeight="false" outlineLevel="0" collapsed="false">
      <c r="B10" s="4" t="s">
        <v>187</v>
      </c>
      <c r="C10" s="31" t="n">
        <f aca="false">Assumptions!$C$5</f>
        <v>100</v>
      </c>
      <c r="D10" s="34"/>
      <c r="E10" s="33" t="n">
        <f aca="false">$C10*Assumptions!$C$17</f>
        <v>100</v>
      </c>
      <c r="F10" s="33" t="n">
        <f aca="false">$C10*Assumptions!$D$17</f>
        <v>15</v>
      </c>
      <c r="G10" s="33" t="n">
        <f aca="false">$C10*Assumptions!$E$17</f>
        <v>5</v>
      </c>
      <c r="H10" s="33" t="n">
        <f aca="false">$C10*Assumptions!$F$17</f>
        <v>5</v>
      </c>
      <c r="M10" s="33" t="n">
        <f aca="false">$C10*Assumptions!$G$17</f>
        <v>125</v>
      </c>
      <c r="O10" s="4" t="s">
        <v>188</v>
      </c>
      <c r="P10" s="31" t="n">
        <f aca="false">Assumptions!$C$11*Assumptions!$C$5*Assumptions!$C$9</f>
        <v>57.5</v>
      </c>
      <c r="Q10" s="34"/>
      <c r="R10" s="33" t="n">
        <f aca="false">$P10*Assumptions!$C$18</f>
        <v>57.5</v>
      </c>
      <c r="S10" s="33" t="n">
        <f aca="false">$P10*Assumptions!$D$18</f>
        <v>57.5</v>
      </c>
      <c r="T10" s="33" t="n">
        <f aca="false">$P10*Assumptions!$E$18</f>
        <v>0</v>
      </c>
      <c r="U10" s="33" t="n">
        <f aca="false">$P10*Assumptions!$F$18</f>
        <v>0</v>
      </c>
      <c r="Z10" s="33" t="n">
        <f aca="false">$P10*Assumptions!$G$18</f>
        <v>115</v>
      </c>
    </row>
    <row r="11" customFormat="false" ht="15" hidden="false" customHeight="false" outlineLevel="0" collapsed="false">
      <c r="B11" s="4" t="s">
        <v>189</v>
      </c>
      <c r="C11" s="31" t="n">
        <f aca="false">Assumptions!$C$5</f>
        <v>100</v>
      </c>
      <c r="D11" s="34"/>
      <c r="F11" s="33" t="n">
        <f aca="false">$C11*Assumptions!$C$17</f>
        <v>100</v>
      </c>
      <c r="G11" s="33" t="n">
        <f aca="false">$C11*Assumptions!$D$17</f>
        <v>15</v>
      </c>
      <c r="H11" s="33" t="n">
        <f aca="false">$C11*Assumptions!$E$17</f>
        <v>5</v>
      </c>
      <c r="I11" s="33" t="n">
        <f aca="false">$C11*Assumptions!$F$17</f>
        <v>5</v>
      </c>
      <c r="M11" s="33" t="n">
        <f aca="false">$C11*Assumptions!$G$17</f>
        <v>125</v>
      </c>
      <c r="O11" s="4" t="s">
        <v>190</v>
      </c>
      <c r="P11" s="31" t="n">
        <f aca="false">Assumptions!$C$11*Assumptions!$C$5*Assumptions!$C$9</f>
        <v>57.5</v>
      </c>
      <c r="Q11" s="34"/>
      <c r="S11" s="33" t="n">
        <f aca="false">$P11*Assumptions!$C$18</f>
        <v>57.5</v>
      </c>
      <c r="T11" s="33" t="n">
        <f aca="false">$P11*Assumptions!$D$18</f>
        <v>57.5</v>
      </c>
      <c r="U11" s="33" t="n">
        <f aca="false">$P11*Assumptions!$E$18</f>
        <v>0</v>
      </c>
      <c r="V11" s="33" t="n">
        <f aca="false">$P11*Assumptions!$F$18</f>
        <v>0</v>
      </c>
      <c r="Z11" s="33" t="n">
        <f aca="false">$P11*Assumptions!$G$18</f>
        <v>115</v>
      </c>
    </row>
    <row r="12" customFormat="false" ht="15" hidden="false" customHeight="false" outlineLevel="0" collapsed="false">
      <c r="B12" s="4" t="s">
        <v>274</v>
      </c>
      <c r="C12" s="31" t="n">
        <f aca="false">Assumptions!$C$5*Assumptions!$C$7</f>
        <v>150</v>
      </c>
      <c r="D12" s="34"/>
      <c r="G12" s="33" t="n">
        <f aca="false">$C12*Assumptions!$C$17</f>
        <v>150</v>
      </c>
      <c r="H12" s="33" t="n">
        <f aca="false">$C12*Assumptions!$D$17</f>
        <v>22.5</v>
      </c>
      <c r="I12" s="33" t="n">
        <f aca="false">$C12*Assumptions!$E$17</f>
        <v>7.5</v>
      </c>
      <c r="J12" s="33" t="n">
        <f aca="false">$C12*Assumptions!$F$17</f>
        <v>7.5</v>
      </c>
      <c r="M12" s="33" t="n">
        <f aca="false">$C12*Assumptions!$G$17</f>
        <v>187.5</v>
      </c>
      <c r="O12" s="4" t="s">
        <v>275</v>
      </c>
      <c r="P12" s="31" t="n">
        <f aca="false">MAX(0,T7-(T8+SUM(T9:T11)))</f>
        <v>92.5</v>
      </c>
      <c r="Q12" s="34"/>
      <c r="T12" s="33" t="n">
        <f aca="false">$P12*Assumptions!$C$18</f>
        <v>92.5</v>
      </c>
      <c r="U12" s="33" t="n">
        <f aca="false">$P12*Assumptions!$D$18</f>
        <v>92.5</v>
      </c>
      <c r="V12" s="33" t="n">
        <f aca="false">$P12*Assumptions!$E$18</f>
        <v>0</v>
      </c>
      <c r="W12" s="33" t="n">
        <f aca="false">$P12*Assumptions!$F$18</f>
        <v>0</v>
      </c>
      <c r="Z12" s="33" t="n">
        <f aca="false">$P12*Assumptions!$G$18</f>
        <v>185</v>
      </c>
    </row>
    <row r="13" customFormat="false" ht="15" hidden="false" customHeight="false" outlineLevel="0" collapsed="false">
      <c r="B13" s="4" t="s">
        <v>193</v>
      </c>
      <c r="C13" s="31" t="n">
        <f aca="false">Assumptions!$C$5</f>
        <v>100</v>
      </c>
      <c r="D13" s="34"/>
      <c r="H13" s="33" t="n">
        <f aca="false">$C13*Assumptions!$C$17</f>
        <v>100</v>
      </c>
      <c r="I13" s="33" t="n">
        <f aca="false">$C13*Assumptions!$D$17</f>
        <v>15</v>
      </c>
      <c r="J13" s="33" t="n">
        <f aca="false">$C13*Assumptions!$E$17</f>
        <v>5</v>
      </c>
      <c r="K13" s="33" t="n">
        <f aca="false">$C13*Assumptions!$F$17</f>
        <v>5</v>
      </c>
      <c r="M13" s="33" t="n">
        <f aca="false">$C13*Assumptions!$G$17</f>
        <v>125</v>
      </c>
      <c r="O13" s="4" t="s">
        <v>194</v>
      </c>
      <c r="P13" s="31" t="n">
        <f aca="false">Assumptions!$C$11*Assumptions!$C$5*Assumptions!$C$9</f>
        <v>57.5</v>
      </c>
      <c r="Q13" s="34"/>
      <c r="U13" s="33" t="n">
        <f aca="false">$P13*Assumptions!$C$18</f>
        <v>57.5</v>
      </c>
      <c r="V13" s="33" t="n">
        <f aca="false">$P13*Assumptions!$D$18</f>
        <v>57.5</v>
      </c>
      <c r="W13" s="33" t="n">
        <f aca="false">$P13*Assumptions!$E$18</f>
        <v>0</v>
      </c>
      <c r="X13" s="33" t="n">
        <f aca="false">$P13*Assumptions!$F$18</f>
        <v>0</v>
      </c>
      <c r="Z13" s="33" t="n">
        <f aca="false">$P13*Assumptions!$G$18</f>
        <v>115</v>
      </c>
    </row>
    <row r="14" customFormat="false" ht="15" hidden="false" customHeight="false" outlineLevel="0" collapsed="false">
      <c r="B14" s="4" t="s">
        <v>195</v>
      </c>
      <c r="C14" s="31" t="n">
        <f aca="false">Assumptions!$C$5</f>
        <v>100</v>
      </c>
      <c r="D14" s="34"/>
      <c r="I14" s="33" t="n">
        <f aca="false">$C14*Assumptions!$C$17</f>
        <v>100</v>
      </c>
      <c r="J14" s="33" t="n">
        <f aca="false">$C14*Assumptions!$D$17</f>
        <v>15</v>
      </c>
      <c r="K14" s="33" t="n">
        <f aca="false">$C14*Assumptions!$E$17</f>
        <v>5</v>
      </c>
      <c r="L14" s="33" t="n">
        <f aca="false">$C14*Assumptions!$F$17</f>
        <v>5</v>
      </c>
      <c r="M14" s="33" t="n">
        <f aca="false">$C14*Assumptions!$G$17</f>
        <v>125</v>
      </c>
      <c r="O14" s="4" t="s">
        <v>196</v>
      </c>
      <c r="P14" s="31" t="n">
        <f aca="false">Assumptions!$C$11*Assumptions!$C$5*Assumptions!$C$9</f>
        <v>57.5</v>
      </c>
      <c r="Q14" s="34"/>
      <c r="V14" s="33" t="n">
        <f aca="false">$P14*Assumptions!$C$18</f>
        <v>57.5</v>
      </c>
      <c r="W14" s="33" t="n">
        <f aca="false">$P14*Assumptions!$D$18</f>
        <v>57.5</v>
      </c>
      <c r="X14" s="33" t="n">
        <f aca="false">$P14*Assumptions!$E$18</f>
        <v>0</v>
      </c>
      <c r="Y14" s="33" t="n">
        <f aca="false">$P14*Assumptions!$F$18</f>
        <v>0</v>
      </c>
      <c r="Z14" s="33" t="n">
        <f aca="false">$P14*Assumptions!$G$18</f>
        <v>115</v>
      </c>
    </row>
    <row r="15" customFormat="false" ht="15" hidden="false" customHeight="false" outlineLevel="0" collapsed="false">
      <c r="B15" s="4" t="s">
        <v>197</v>
      </c>
      <c r="C15" s="31" t="n">
        <f aca="false">Assumptions!$C$5</f>
        <v>100</v>
      </c>
      <c r="D15" s="34"/>
      <c r="J15" s="33" t="n">
        <f aca="false">$C15*Assumptions!$C$17</f>
        <v>100</v>
      </c>
      <c r="K15" s="33" t="n">
        <f aca="false">$C15*Assumptions!$D$17</f>
        <v>15</v>
      </c>
      <c r="L15" s="33" t="n">
        <f aca="false">$C15*Assumptions!$E$17</f>
        <v>5</v>
      </c>
      <c r="M15" s="33" t="n">
        <f aca="false">$C15*Assumptions!$G$17</f>
        <v>125</v>
      </c>
      <c r="O15" s="4" t="s">
        <v>198</v>
      </c>
      <c r="P15" s="31" t="n">
        <f aca="false">Assumptions!$C$11*Assumptions!$C$5*Assumptions!$C$9</f>
        <v>57.5</v>
      </c>
      <c r="Q15" s="34"/>
      <c r="W15" s="33" t="n">
        <f aca="false">$P15*Assumptions!$C$18</f>
        <v>57.5</v>
      </c>
      <c r="X15" s="33" t="n">
        <f aca="false">$P15*Assumptions!$D$18</f>
        <v>57.5</v>
      </c>
      <c r="Y15" s="33" t="n">
        <f aca="false">$P15*Assumptions!$E$18</f>
        <v>0</v>
      </c>
      <c r="Z15" s="33" t="n">
        <f aca="false">$P15*Assumptions!$G$18</f>
        <v>115</v>
      </c>
    </row>
    <row r="16" customFormat="false" ht="15" hidden="false" customHeight="false" outlineLevel="0" collapsed="false">
      <c r="B16" s="4" t="s">
        <v>199</v>
      </c>
      <c r="C16" s="31" t="n">
        <f aca="false">Assumptions!$C$5</f>
        <v>100</v>
      </c>
      <c r="D16" s="34"/>
      <c r="K16" s="33" t="n">
        <f aca="false">$C16*Assumptions!$C$17</f>
        <v>100</v>
      </c>
      <c r="L16" s="33" t="n">
        <f aca="false">$C16*Assumptions!$D$17</f>
        <v>15</v>
      </c>
      <c r="M16" s="33" t="n">
        <f aca="false">$C16*Assumptions!$G$17</f>
        <v>125</v>
      </c>
      <c r="O16" s="4" t="s">
        <v>200</v>
      </c>
      <c r="P16" s="31" t="n">
        <f aca="false">Assumptions!$C$11*Assumptions!$C$5*Assumptions!$C$9</f>
        <v>57.5</v>
      </c>
      <c r="Q16" s="34"/>
      <c r="X16" s="33" t="n">
        <f aca="false">$P16*Assumptions!$C$18</f>
        <v>57.5</v>
      </c>
      <c r="Y16" s="33" t="n">
        <f aca="false">$P16*Assumptions!$D$18</f>
        <v>57.5</v>
      </c>
      <c r="Z16" s="33" t="n">
        <f aca="false">$P16*Assumptions!$G$18</f>
        <v>115</v>
      </c>
    </row>
    <row r="17" customFormat="false" ht="15" hidden="false" customHeight="false" outlineLevel="0" collapsed="false">
      <c r="B17" s="4" t="s">
        <v>201</v>
      </c>
      <c r="C17" s="31" t="n">
        <f aca="false">Assumptions!$C$5</f>
        <v>100</v>
      </c>
      <c r="D17" s="34"/>
      <c r="L17" s="33" t="n">
        <f aca="false">$C17*Assumptions!$C$17</f>
        <v>100</v>
      </c>
      <c r="M17" s="33" t="n">
        <f aca="false">$C17*Assumptions!$G$17</f>
        <v>125</v>
      </c>
      <c r="O17" s="4" t="s">
        <v>202</v>
      </c>
      <c r="P17" s="31" t="n">
        <f aca="false">Assumptions!$C$11*Assumptions!$C$5*Assumptions!$C$9</f>
        <v>57.5</v>
      </c>
      <c r="Q17" s="34"/>
      <c r="Y17" s="33" t="n">
        <f aca="false">$P17*Assumptions!$C$18</f>
        <v>57.5</v>
      </c>
      <c r="Z17" s="33" t="n">
        <f aca="false">$P17*Assumptions!$G$18</f>
        <v>115</v>
      </c>
    </row>
    <row r="18" customFormat="false" ht="15" hidden="false" customHeight="false" outlineLevel="0" collapsed="false">
      <c r="B18" s="8" t="s">
        <v>203</v>
      </c>
      <c r="C18" s="8" t="s">
        <v>204</v>
      </c>
      <c r="D18" s="35" t="n">
        <f aca="false">D8+SUM(D9:D17)</f>
        <v>100</v>
      </c>
      <c r="E18" s="13" t="n">
        <f aca="false">E8+SUM(E9:E17)</f>
        <v>115</v>
      </c>
      <c r="F18" s="13" t="n">
        <f aca="false">F8+SUM(F9:F17)</f>
        <v>120</v>
      </c>
      <c r="G18" s="13" t="n">
        <f aca="false">G8+SUM(G9:G17)</f>
        <v>175</v>
      </c>
      <c r="H18" s="13" t="n">
        <f aca="false">H8+SUM(H9:H17)</f>
        <v>132.5</v>
      </c>
      <c r="I18" s="13" t="n">
        <f aca="false">I8+SUM(I9:I17)</f>
        <v>127.5</v>
      </c>
      <c r="J18" s="13" t="n">
        <f aca="false">J8+SUM(J9:J17)</f>
        <v>127.5</v>
      </c>
      <c r="K18" s="13" t="n">
        <f aca="false">K8+SUM(K9:K17)</f>
        <v>125</v>
      </c>
      <c r="L18" s="13" t="n">
        <f aca="false">L8+SUM(L9:L17)</f>
        <v>125</v>
      </c>
      <c r="M18" s="13" t="n">
        <f aca="false">SUM(M9:M17)</f>
        <v>1187.5</v>
      </c>
      <c r="O18" s="8" t="s">
        <v>203</v>
      </c>
      <c r="P18" s="8" t="s">
        <v>204</v>
      </c>
      <c r="Q18" s="35" t="n">
        <f aca="false">Q8+SUM(Q9:Q17)</f>
        <v>115</v>
      </c>
      <c r="R18" s="13" t="n">
        <f aca="false">R8+SUM(R9:R17)</f>
        <v>115</v>
      </c>
      <c r="S18" s="13" t="n">
        <f aca="false">S8+SUM(S9:S17)</f>
        <v>115</v>
      </c>
      <c r="T18" s="13" t="n">
        <f aca="false">T8+SUM(T9:T17)</f>
        <v>150</v>
      </c>
      <c r="U18" s="13" t="n">
        <f aca="false">U8+SUM(U9:U17)</f>
        <v>150</v>
      </c>
      <c r="V18" s="13" t="n">
        <f aca="false">V8+SUM(V9:V17)</f>
        <v>115</v>
      </c>
      <c r="W18" s="13" t="n">
        <f aca="false">W8+SUM(W9:W17)</f>
        <v>115</v>
      </c>
      <c r="X18" s="13" t="n">
        <f aca="false">X8+SUM(X9:X17)</f>
        <v>115</v>
      </c>
      <c r="Y18" s="13" t="n">
        <f aca="false">Y8+SUM(Y9:Y17)</f>
        <v>115</v>
      </c>
      <c r="Z18" s="13" t="n">
        <f aca="false">SUM(Z9:Z17)</f>
        <v>1162.5</v>
      </c>
    </row>
    <row r="19" customFormat="false" ht="15" hidden="false" customHeight="false" outlineLevel="0" collapsed="false">
      <c r="B19" s="2" t="s">
        <v>205</v>
      </c>
      <c r="D19" s="36" t="n">
        <f aca="false">D18/D7</f>
        <v>0.8</v>
      </c>
      <c r="E19" s="37" t="n">
        <f aca="false">E18/E7</f>
        <v>0.92</v>
      </c>
      <c r="F19" s="37" t="n">
        <f aca="false">F18/F7</f>
        <v>0.96</v>
      </c>
      <c r="G19" s="37" t="n">
        <f aca="false">G18/G7</f>
        <v>1.16666666666667</v>
      </c>
      <c r="H19" s="37" t="n">
        <f aca="false">H18/H7</f>
        <v>1.06</v>
      </c>
      <c r="I19" s="37" t="n">
        <f aca="false">I18/I7</f>
        <v>1.02</v>
      </c>
      <c r="J19" s="37" t="n">
        <f aca="false">J18/J7</f>
        <v>1.02</v>
      </c>
      <c r="K19" s="37" t="n">
        <f aca="false">K18/K7</f>
        <v>1</v>
      </c>
      <c r="L19" s="37" t="n">
        <f aca="false">L18/L7</f>
        <v>1</v>
      </c>
      <c r="O19" s="2" t="s">
        <v>205</v>
      </c>
      <c r="Q19" s="36" t="n">
        <f aca="false">Q18/Q7</f>
        <v>0.92</v>
      </c>
      <c r="R19" s="37" t="n">
        <f aca="false">R18/R7</f>
        <v>0.92</v>
      </c>
      <c r="S19" s="37" t="n">
        <f aca="false">S18/S7</f>
        <v>0.92</v>
      </c>
      <c r="T19" s="37" t="n">
        <f aca="false">T18/T7</f>
        <v>1</v>
      </c>
      <c r="U19" s="37" t="n">
        <f aca="false">U18/U7</f>
        <v>1.2</v>
      </c>
      <c r="V19" s="37" t="n">
        <f aca="false">V18/V7</f>
        <v>0.92</v>
      </c>
      <c r="W19" s="37" t="n">
        <f aca="false">W18/W7</f>
        <v>0.92</v>
      </c>
      <c r="X19" s="37" t="n">
        <f aca="false">X18/X7</f>
        <v>0.92</v>
      </c>
      <c r="Y19" s="37" t="n">
        <f aca="false">Y18/Y7</f>
        <v>0.92</v>
      </c>
    </row>
    <row r="20" customFormat="false" ht="15" hidden="false" customHeight="false" outlineLevel="0" collapsed="false">
      <c r="B20" s="2" t="s">
        <v>206</v>
      </c>
      <c r="D20" s="38" t="n">
        <f aca="false">D18-Assumptions!$C$5</f>
        <v>0</v>
      </c>
      <c r="E20" s="39" t="n">
        <f aca="false">E18-D18</f>
        <v>15</v>
      </c>
      <c r="F20" s="39" t="n">
        <f aca="false">F18-E18</f>
        <v>5</v>
      </c>
      <c r="G20" s="39" t="n">
        <f aca="false">G18-F18</f>
        <v>55</v>
      </c>
      <c r="H20" s="39" t="n">
        <f aca="false">H18-G18</f>
        <v>-42.5</v>
      </c>
      <c r="I20" s="39" t="n">
        <f aca="false">I18-H18</f>
        <v>-5</v>
      </c>
      <c r="J20" s="39" t="n">
        <f aca="false">J18-I18</f>
        <v>0</v>
      </c>
      <c r="K20" s="39" t="n">
        <f aca="false">K18-J18</f>
        <v>-2.5</v>
      </c>
      <c r="L20" s="39" t="n">
        <f aca="false">L18-K18</f>
        <v>0</v>
      </c>
      <c r="O20" s="2" t="s">
        <v>206</v>
      </c>
      <c r="Q20" s="38" t="n">
        <f aca="false">Q18-Assumptions!$C$5</f>
        <v>15</v>
      </c>
      <c r="R20" s="39" t="n">
        <f aca="false">R18-Q18</f>
        <v>0</v>
      </c>
      <c r="S20" s="39" t="n">
        <f aca="false">S18-R18</f>
        <v>0</v>
      </c>
      <c r="T20" s="39" t="n">
        <f aca="false">T18-S18</f>
        <v>35</v>
      </c>
      <c r="U20" s="39" t="n">
        <f aca="false">U18-T18</f>
        <v>0</v>
      </c>
      <c r="V20" s="39" t="n">
        <f aca="false">V18-U18</f>
        <v>-35</v>
      </c>
      <c r="W20" s="39" t="n">
        <f aca="false">W18-V18</f>
        <v>0</v>
      </c>
      <c r="X20" s="39" t="n">
        <f aca="false">X18-W18</f>
        <v>0</v>
      </c>
      <c r="Y20" s="39" t="n">
        <f aca="false">Y18-X18</f>
        <v>0</v>
      </c>
    </row>
    <row r="21" customFormat="false" ht="15" hidden="false" customHeight="false" outlineLevel="0" collapsed="false">
      <c r="D21" s="34"/>
      <c r="Q21" s="34"/>
    </row>
    <row r="24" customFormat="false" ht="15" hidden="false" customHeight="false" outlineLevel="0" collapsed="false">
      <c r="B24" s="3" t="s">
        <v>207</v>
      </c>
    </row>
    <row r="25" customFormat="false" ht="15" hidden="false" customHeight="false" outlineLevel="0" collapsed="false">
      <c r="B25" s="5" t="s">
        <v>180</v>
      </c>
      <c r="C25" s="7" t="s">
        <v>181</v>
      </c>
      <c r="D25" s="7" t="s">
        <v>91</v>
      </c>
      <c r="E25" s="7" t="s">
        <v>92</v>
      </c>
      <c r="F25" s="7" t="s">
        <v>93</v>
      </c>
      <c r="G25" s="7" t="s">
        <v>94</v>
      </c>
      <c r="H25" s="7" t="s">
        <v>95</v>
      </c>
      <c r="I25" s="7" t="s">
        <v>96</v>
      </c>
      <c r="J25" s="7" t="s">
        <v>97</v>
      </c>
      <c r="K25" s="7" t="s">
        <v>98</v>
      </c>
      <c r="L25" s="7" t="s">
        <v>99</v>
      </c>
      <c r="M25" s="7" t="s">
        <v>100</v>
      </c>
      <c r="O25" s="25" t="s">
        <v>182</v>
      </c>
      <c r="P25" s="26" t="s">
        <v>181</v>
      </c>
      <c r="Q25" s="26" t="s">
        <v>91</v>
      </c>
      <c r="R25" s="26" t="s">
        <v>92</v>
      </c>
      <c r="S25" s="26" t="s">
        <v>93</v>
      </c>
      <c r="T25" s="26" t="s">
        <v>94</v>
      </c>
      <c r="U25" s="26" t="s">
        <v>95</v>
      </c>
      <c r="V25" s="26" t="s">
        <v>96</v>
      </c>
      <c r="W25" s="26" t="s">
        <v>97</v>
      </c>
      <c r="X25" s="26" t="s">
        <v>98</v>
      </c>
      <c r="Y25" s="26" t="s">
        <v>99</v>
      </c>
      <c r="Z25" s="26" t="s">
        <v>100</v>
      </c>
    </row>
    <row r="26" customFormat="false" ht="15" hidden="false" customHeight="false" outlineLevel="0" collapsed="false">
      <c r="B26" s="2" t="s">
        <v>183</v>
      </c>
      <c r="D26" s="28" t="n">
        <f aca="false">Assumptions!$C$5*Assumptions!$C$6</f>
        <v>125</v>
      </c>
      <c r="E26" s="28" t="n">
        <f aca="false">Assumptions!$C$5*Assumptions!$C$6</f>
        <v>125</v>
      </c>
      <c r="F26" s="28" t="n">
        <f aca="false">Assumptions!$C$5*Assumptions!$C$6</f>
        <v>125</v>
      </c>
      <c r="G26" s="27" t="n">
        <f aca="false">Assumptions!$C$5*Assumptions!$C$7</f>
        <v>150</v>
      </c>
      <c r="H26" s="28" t="n">
        <f aca="false">Assumptions!$C$5*Assumptions!$C$6</f>
        <v>125</v>
      </c>
      <c r="I26" s="28" t="n">
        <f aca="false">Assumptions!$C$5*Assumptions!$C$6</f>
        <v>125</v>
      </c>
      <c r="J26" s="28" t="n">
        <f aca="false">Assumptions!$C$5*Assumptions!$C$6</f>
        <v>125</v>
      </c>
      <c r="K26" s="28" t="n">
        <f aca="false">Assumptions!$C$5*Assumptions!$C$6</f>
        <v>125</v>
      </c>
      <c r="L26" s="28" t="n">
        <f aca="false">Assumptions!$C$5*Assumptions!$C$6</f>
        <v>125</v>
      </c>
      <c r="O26" s="2" t="s">
        <v>183</v>
      </c>
      <c r="Q26" s="28" t="n">
        <f aca="false">Assumptions!$C$5*Assumptions!$C$6</f>
        <v>125</v>
      </c>
      <c r="R26" s="28" t="n">
        <f aca="false">Assumptions!$C$5*Assumptions!$C$6</f>
        <v>125</v>
      </c>
      <c r="S26" s="28" t="n">
        <f aca="false">Assumptions!$C$5*Assumptions!$C$6</f>
        <v>125</v>
      </c>
      <c r="T26" s="27" t="n">
        <f aca="false">Assumptions!$C$5*Assumptions!$C$7</f>
        <v>150</v>
      </c>
      <c r="U26" s="28" t="n">
        <f aca="false">Assumptions!$C$5*Assumptions!$C$6</f>
        <v>125</v>
      </c>
      <c r="V26" s="28" t="n">
        <f aca="false">Assumptions!$C$5*Assumptions!$C$6</f>
        <v>125</v>
      </c>
      <c r="W26" s="28" t="n">
        <f aca="false">Assumptions!$C$5*Assumptions!$C$6</f>
        <v>125</v>
      </c>
      <c r="X26" s="28" t="n">
        <f aca="false">Assumptions!$C$5*Assumptions!$C$6</f>
        <v>125</v>
      </c>
      <c r="Y26" s="28" t="n">
        <f aca="false">Assumptions!$C$5*Assumptions!$C$6</f>
        <v>125</v>
      </c>
    </row>
    <row r="27" customFormat="false" ht="15" hidden="false" customHeight="false" outlineLevel="0" collapsed="false">
      <c r="B27" s="4" t="s">
        <v>184</v>
      </c>
      <c r="D27" s="30" t="n">
        <v>100</v>
      </c>
      <c r="E27" s="30" t="n">
        <v>100</v>
      </c>
      <c r="F27" s="30" t="n">
        <v>100</v>
      </c>
      <c r="G27" s="29" t="n">
        <v>0</v>
      </c>
      <c r="H27" s="30" t="n">
        <v>0</v>
      </c>
      <c r="I27" s="30" t="n">
        <v>0</v>
      </c>
      <c r="J27" s="30" t="n">
        <v>0</v>
      </c>
      <c r="K27" s="30" t="n">
        <v>0</v>
      </c>
      <c r="L27" s="30" t="n">
        <v>0</v>
      </c>
      <c r="O27" s="4" t="s">
        <v>184</v>
      </c>
      <c r="Q27" s="30" t="n">
        <v>100</v>
      </c>
      <c r="R27" s="30" t="n">
        <v>100</v>
      </c>
      <c r="S27" s="30" t="n">
        <v>100</v>
      </c>
      <c r="T27" s="29" t="n">
        <v>0</v>
      </c>
      <c r="U27" s="30" t="n">
        <v>0</v>
      </c>
      <c r="V27" s="30" t="n">
        <v>0</v>
      </c>
      <c r="W27" s="30" t="n">
        <v>0</v>
      </c>
      <c r="X27" s="30" t="n">
        <v>0</v>
      </c>
      <c r="Y27" s="30" t="n">
        <v>0</v>
      </c>
    </row>
    <row r="28" customFormat="false" ht="15" hidden="false" customHeight="false" outlineLevel="0" collapsed="false">
      <c r="B28" s="4" t="s">
        <v>208</v>
      </c>
      <c r="C28" s="31" t="n">
        <f aca="false">MAX(Assumptions!$C$5*Assumptions!$C$12,D26-(D27))</f>
        <v>25</v>
      </c>
      <c r="D28" s="33" t="n">
        <f aca="false">$C28*Assumptions!$C$23</f>
        <v>25</v>
      </c>
      <c r="E28" s="33" t="n">
        <f aca="false">$C28*Assumptions!$D$23</f>
        <v>3.75</v>
      </c>
      <c r="F28" s="33" t="n">
        <f aca="false">$C28*Assumptions!$E$23</f>
        <v>1.25</v>
      </c>
      <c r="G28" s="32" t="n">
        <f aca="false">$C28*Assumptions!$F$23</f>
        <v>1.25</v>
      </c>
      <c r="M28" s="33" t="n">
        <f aca="false">$C28*Assumptions!$G$23</f>
        <v>31.25</v>
      </c>
      <c r="O28" s="4" t="s">
        <v>209</v>
      </c>
      <c r="P28" s="31" t="n">
        <f aca="false">MAX(Assumptions!$C$5*Assumptions!$C$12,Q26-(Q27))</f>
        <v>25</v>
      </c>
      <c r="Q28" s="33" t="n">
        <f aca="false">$P28*Assumptions!$C$21</f>
        <v>25</v>
      </c>
      <c r="R28" s="33" t="n">
        <f aca="false">$P28*Assumptions!$D$21</f>
        <v>0</v>
      </c>
      <c r="S28" s="33" t="n">
        <f aca="false">$P28*Assumptions!$E$21</f>
        <v>0</v>
      </c>
      <c r="T28" s="32" t="n">
        <f aca="false">$P28*Assumptions!$F$21</f>
        <v>0</v>
      </c>
      <c r="Z28" s="33" t="n">
        <f aca="false">$P28*Assumptions!$G$21</f>
        <v>25</v>
      </c>
    </row>
    <row r="29" customFormat="false" ht="15" hidden="false" customHeight="false" outlineLevel="0" collapsed="false">
      <c r="B29" s="4" t="s">
        <v>210</v>
      </c>
      <c r="C29" s="31" t="n">
        <f aca="false">MAX(Assumptions!$C$5*Assumptions!$C$12,E26-(E27))</f>
        <v>25</v>
      </c>
      <c r="E29" s="33" t="n">
        <f aca="false">$C29*Assumptions!$C$23</f>
        <v>25</v>
      </c>
      <c r="F29" s="33" t="n">
        <f aca="false">$C29*Assumptions!$D$23</f>
        <v>3.75</v>
      </c>
      <c r="G29" s="32" t="n">
        <f aca="false">$C29*Assumptions!$E$23</f>
        <v>1.25</v>
      </c>
      <c r="H29" s="33" t="n">
        <f aca="false">$C29*Assumptions!$F$23</f>
        <v>1.25</v>
      </c>
      <c r="M29" s="33" t="n">
        <f aca="false">$C29*Assumptions!$G$23</f>
        <v>31.25</v>
      </c>
      <c r="O29" s="4" t="s">
        <v>211</v>
      </c>
      <c r="P29" s="31" t="n">
        <f aca="false">MAX(Assumptions!$C$5*Assumptions!$C$12,R26-(R27))</f>
        <v>25</v>
      </c>
      <c r="R29" s="33" t="n">
        <f aca="false">$P29*Assumptions!$C$21</f>
        <v>25</v>
      </c>
      <c r="S29" s="33" t="n">
        <f aca="false">$P29*Assumptions!$D$21</f>
        <v>0</v>
      </c>
      <c r="T29" s="32" t="n">
        <f aca="false">$P29*Assumptions!$E$21</f>
        <v>0</v>
      </c>
      <c r="U29" s="33" t="n">
        <f aca="false">$P29*Assumptions!$F$21</f>
        <v>0</v>
      </c>
      <c r="Z29" s="33" t="n">
        <f aca="false">$P29*Assumptions!$G$21</f>
        <v>25</v>
      </c>
    </row>
    <row r="30" customFormat="false" ht="15" hidden="false" customHeight="false" outlineLevel="0" collapsed="false">
      <c r="B30" s="4" t="s">
        <v>212</v>
      </c>
      <c r="C30" s="31" t="n">
        <f aca="false">MAX(Assumptions!$C$5*Assumptions!$C$12,F26-(F27))</f>
        <v>25</v>
      </c>
      <c r="F30" s="33" t="n">
        <f aca="false">$C30*Assumptions!$C$23</f>
        <v>25</v>
      </c>
      <c r="G30" s="32" t="n">
        <f aca="false">$C30*Assumptions!$D$23</f>
        <v>3.75</v>
      </c>
      <c r="H30" s="33" t="n">
        <f aca="false">$C30*Assumptions!$E$23</f>
        <v>1.25</v>
      </c>
      <c r="I30" s="33" t="n">
        <f aca="false">$C30*Assumptions!$F$23</f>
        <v>1.25</v>
      </c>
      <c r="M30" s="33" t="n">
        <f aca="false">$C30*Assumptions!$G$23</f>
        <v>31.25</v>
      </c>
      <c r="O30" s="4" t="s">
        <v>213</v>
      </c>
      <c r="P30" s="31" t="n">
        <f aca="false">MAX(Assumptions!$C$5*Assumptions!$C$12,S26-(S27))</f>
        <v>25</v>
      </c>
      <c r="S30" s="33" t="n">
        <f aca="false">$P30*Assumptions!$C$21</f>
        <v>25</v>
      </c>
      <c r="T30" s="32" t="n">
        <f aca="false">$P30*Assumptions!$D$21</f>
        <v>0</v>
      </c>
      <c r="U30" s="33" t="n">
        <f aca="false">$P30*Assumptions!$E$21</f>
        <v>0</v>
      </c>
      <c r="V30" s="33" t="n">
        <f aca="false">$P30*Assumptions!$F$21</f>
        <v>0</v>
      </c>
      <c r="Z30" s="33" t="n">
        <f aca="false">$P30*Assumptions!$G$21</f>
        <v>25</v>
      </c>
    </row>
    <row r="31" customFormat="false" ht="15" hidden="false" customHeight="false" outlineLevel="0" collapsed="false">
      <c r="B31" s="4" t="s">
        <v>214</v>
      </c>
      <c r="C31" s="31" t="n">
        <f aca="false">MAX(Assumptions!$C$5*Assumptions!$C$12*Assumptions!$C$7,G26-(G27))</f>
        <v>150</v>
      </c>
      <c r="G31" s="32" t="n">
        <f aca="false">$C31*Assumptions!$C$21</f>
        <v>150</v>
      </c>
      <c r="H31" s="33" t="n">
        <f aca="false">$C31*Assumptions!$D$21</f>
        <v>0</v>
      </c>
      <c r="I31" s="33" t="n">
        <f aca="false">$C31*Assumptions!$E$21</f>
        <v>0</v>
      </c>
      <c r="J31" s="33" t="n">
        <f aca="false">$C31*Assumptions!$F$21</f>
        <v>0</v>
      </c>
      <c r="M31" s="33" t="n">
        <f aca="false">$C31*Assumptions!$G$21</f>
        <v>150</v>
      </c>
      <c r="O31" s="4" t="s">
        <v>276</v>
      </c>
      <c r="P31" s="31" t="n">
        <f aca="false">Assumptions!$C$5*Assumptions!$C$7</f>
        <v>150</v>
      </c>
      <c r="T31" s="32" t="n">
        <f aca="false">$P31*Assumptions!$C$19</f>
        <v>150</v>
      </c>
      <c r="U31" s="33" t="n">
        <f aca="false">$P31*Assumptions!$D$19</f>
        <v>75</v>
      </c>
      <c r="V31" s="33" t="n">
        <f aca="false">$P31*Assumptions!$E$19</f>
        <v>0</v>
      </c>
      <c r="W31" s="33" t="n">
        <f aca="false">$P31*Assumptions!$F$19</f>
        <v>0</v>
      </c>
      <c r="Z31" s="33" t="n">
        <f aca="false">$P31*Assumptions!$G$19</f>
        <v>225</v>
      </c>
    </row>
    <row r="32" customFormat="false" ht="15" hidden="false" customHeight="false" outlineLevel="0" collapsed="false">
      <c r="B32" s="4" t="s">
        <v>216</v>
      </c>
      <c r="C32" s="31" t="n">
        <f aca="false">Assumptions!$C$5</f>
        <v>100</v>
      </c>
      <c r="G32" s="32" t="n">
        <f aca="false">$C32*Assumptions!$C$22</f>
        <v>0</v>
      </c>
      <c r="H32" s="33" t="n">
        <f aca="false">$C32*Assumptions!$D$22</f>
        <v>25</v>
      </c>
      <c r="I32" s="33" t="n">
        <f aca="false">$C32*Assumptions!$E$22</f>
        <v>10</v>
      </c>
      <c r="J32" s="33" t="n">
        <f aca="false">$C32*Assumptions!$F$22</f>
        <v>5</v>
      </c>
      <c r="M32" s="33" t="n">
        <f aca="false">$C32*Assumptions!$G$22</f>
        <v>40</v>
      </c>
      <c r="O32" s="4" t="s">
        <v>217</v>
      </c>
      <c r="P32" s="31" t="n">
        <f aca="false">Assumptions!$C$11*Assumptions!$C$5*Assumptions!$C$6</f>
        <v>62.5</v>
      </c>
      <c r="T32" s="34"/>
      <c r="U32" s="33" t="n">
        <f aca="false">$P32*Assumptions!$C$18</f>
        <v>62.5</v>
      </c>
      <c r="V32" s="33" t="n">
        <f aca="false">$P32*Assumptions!$D$18</f>
        <v>62.5</v>
      </c>
      <c r="W32" s="33" t="n">
        <f aca="false">$P32*Assumptions!$E$18</f>
        <v>0</v>
      </c>
      <c r="X32" s="33" t="n">
        <f aca="false">$P32*Assumptions!$F$18</f>
        <v>0</v>
      </c>
      <c r="Z32" s="33" t="n">
        <f aca="false">$P32*Assumptions!$G$18</f>
        <v>125</v>
      </c>
    </row>
    <row r="33" customFormat="false" ht="15" hidden="false" customHeight="false" outlineLevel="0" collapsed="false">
      <c r="B33" s="4" t="s">
        <v>193</v>
      </c>
      <c r="C33" s="31" t="n">
        <f aca="false">Assumptions!$C$5</f>
        <v>100</v>
      </c>
      <c r="G33" s="34"/>
      <c r="H33" s="33" t="n">
        <f aca="false">$C33*Assumptions!$C$17</f>
        <v>100</v>
      </c>
      <c r="I33" s="33" t="n">
        <f aca="false">$C33*Assumptions!$D$17</f>
        <v>15</v>
      </c>
      <c r="J33" s="33" t="n">
        <f aca="false">$C33*Assumptions!$E$17</f>
        <v>5</v>
      </c>
      <c r="K33" s="33" t="n">
        <f aca="false">$C33*Assumptions!$F$17</f>
        <v>5</v>
      </c>
      <c r="M33" s="33" t="n">
        <f aca="false">$C33*Assumptions!$G$17</f>
        <v>125</v>
      </c>
      <c r="O33" s="4" t="s">
        <v>218</v>
      </c>
      <c r="P33" s="31" t="n">
        <f aca="false">Assumptions!$C$11*Assumptions!$C$5*Assumptions!$C$6</f>
        <v>62.5</v>
      </c>
      <c r="T33" s="34"/>
      <c r="V33" s="33" t="n">
        <f aca="false">$P33*Assumptions!$C$18</f>
        <v>62.5</v>
      </c>
      <c r="W33" s="33" t="n">
        <f aca="false">$P33*Assumptions!$D$18</f>
        <v>62.5</v>
      </c>
      <c r="X33" s="33" t="n">
        <f aca="false">$P33*Assumptions!$E$18</f>
        <v>0</v>
      </c>
      <c r="Y33" s="33" t="n">
        <f aca="false">$P33*Assumptions!$F$18</f>
        <v>0</v>
      </c>
      <c r="Z33" s="33" t="n">
        <f aca="false">$P33*Assumptions!$G$18</f>
        <v>125</v>
      </c>
    </row>
    <row r="34" customFormat="false" ht="15" hidden="false" customHeight="false" outlineLevel="0" collapsed="false">
      <c r="B34" s="4" t="s">
        <v>195</v>
      </c>
      <c r="C34" s="31" t="n">
        <f aca="false">Assumptions!$C$5</f>
        <v>100</v>
      </c>
      <c r="G34" s="34"/>
      <c r="I34" s="33" t="n">
        <f aca="false">$C34*Assumptions!$C$17</f>
        <v>100</v>
      </c>
      <c r="J34" s="33" t="n">
        <f aca="false">$C34*Assumptions!$D$17</f>
        <v>15</v>
      </c>
      <c r="K34" s="33" t="n">
        <f aca="false">$C34*Assumptions!$E$17</f>
        <v>5</v>
      </c>
      <c r="L34" s="33" t="n">
        <f aca="false">$C34*Assumptions!$F$17</f>
        <v>5</v>
      </c>
      <c r="M34" s="33" t="n">
        <f aca="false">$C34*Assumptions!$G$17</f>
        <v>125</v>
      </c>
      <c r="O34" s="4" t="s">
        <v>219</v>
      </c>
      <c r="P34" s="31" t="n">
        <f aca="false">Assumptions!$C$11*Assumptions!$C$5*Assumptions!$C$6</f>
        <v>62.5</v>
      </c>
      <c r="T34" s="34"/>
      <c r="W34" s="33" t="n">
        <f aca="false">$P34*Assumptions!$C$18</f>
        <v>62.5</v>
      </c>
      <c r="X34" s="33" t="n">
        <f aca="false">$P34*Assumptions!$D$18</f>
        <v>62.5</v>
      </c>
      <c r="Y34" s="33" t="n">
        <f aca="false">$P34*Assumptions!$E$18</f>
        <v>0</v>
      </c>
      <c r="Z34" s="33" t="n">
        <f aca="false">$P34*Assumptions!$G$18</f>
        <v>125</v>
      </c>
    </row>
    <row r="35" customFormat="false" ht="15" hidden="false" customHeight="false" outlineLevel="0" collapsed="false">
      <c r="B35" s="4" t="s">
        <v>197</v>
      </c>
      <c r="C35" s="31" t="n">
        <f aca="false">Assumptions!$C$5</f>
        <v>100</v>
      </c>
      <c r="G35" s="34"/>
      <c r="J35" s="33" t="n">
        <f aca="false">$C35*Assumptions!$C$17</f>
        <v>100</v>
      </c>
      <c r="K35" s="33" t="n">
        <f aca="false">$C35*Assumptions!$D$17</f>
        <v>15</v>
      </c>
      <c r="L35" s="33" t="n">
        <f aca="false">$C35*Assumptions!$E$17</f>
        <v>5</v>
      </c>
      <c r="M35" s="33" t="n">
        <f aca="false">$C35*Assumptions!$G$17</f>
        <v>125</v>
      </c>
      <c r="O35" s="4" t="s">
        <v>220</v>
      </c>
      <c r="P35" s="31" t="n">
        <f aca="false">Assumptions!$C$11*Assumptions!$C$5*Assumptions!$C$6</f>
        <v>62.5</v>
      </c>
      <c r="T35" s="34"/>
      <c r="X35" s="33" t="n">
        <f aca="false">$P35*Assumptions!$C$18</f>
        <v>62.5</v>
      </c>
      <c r="Y35" s="33" t="n">
        <f aca="false">$P35*Assumptions!$D$18</f>
        <v>62.5</v>
      </c>
      <c r="Z35" s="33" t="n">
        <f aca="false">$P35*Assumptions!$G$18</f>
        <v>125</v>
      </c>
    </row>
    <row r="36" customFormat="false" ht="15" hidden="false" customHeight="false" outlineLevel="0" collapsed="false">
      <c r="B36" s="4" t="s">
        <v>199</v>
      </c>
      <c r="C36" s="31" t="n">
        <f aca="false">Assumptions!$C$5</f>
        <v>100</v>
      </c>
      <c r="G36" s="34"/>
      <c r="K36" s="33" t="n">
        <f aca="false">$C36*Assumptions!$C$17</f>
        <v>100</v>
      </c>
      <c r="L36" s="33" t="n">
        <f aca="false">$C36*Assumptions!$D$17</f>
        <v>15</v>
      </c>
      <c r="M36" s="33" t="n">
        <f aca="false">$C36*Assumptions!$G$17</f>
        <v>125</v>
      </c>
      <c r="O36" s="4" t="s">
        <v>221</v>
      </c>
      <c r="P36" s="31" t="n">
        <f aca="false">Assumptions!$C$11*Assumptions!$C$5*Assumptions!$C$6</f>
        <v>62.5</v>
      </c>
      <c r="T36" s="34"/>
      <c r="Y36" s="33" t="n">
        <f aca="false">$P36*Assumptions!$C$18</f>
        <v>62.5</v>
      </c>
      <c r="Z36" s="33" t="n">
        <f aca="false">$P36*Assumptions!$G$18</f>
        <v>125</v>
      </c>
    </row>
    <row r="37" customFormat="false" ht="15" hidden="false" customHeight="false" outlineLevel="0" collapsed="false">
      <c r="B37" s="4" t="s">
        <v>201</v>
      </c>
      <c r="C37" s="31" t="n">
        <f aca="false">Assumptions!$C$5</f>
        <v>100</v>
      </c>
      <c r="G37" s="34"/>
      <c r="L37" s="33" t="n">
        <f aca="false">$C37*Assumptions!$C$17</f>
        <v>100</v>
      </c>
      <c r="M37" s="33" t="n">
        <f aca="false">$C37*Assumptions!$G$17</f>
        <v>125</v>
      </c>
      <c r="O37" s="8" t="s">
        <v>203</v>
      </c>
      <c r="P37" s="8" t="s">
        <v>204</v>
      </c>
      <c r="Q37" s="13" t="n">
        <f aca="false">Q27+SUM(Q28:Q36)</f>
        <v>125</v>
      </c>
      <c r="R37" s="13" t="n">
        <f aca="false">R27+SUM(R28:R36)</f>
        <v>125</v>
      </c>
      <c r="S37" s="13" t="n">
        <f aca="false">S27+SUM(S28:S36)</f>
        <v>125</v>
      </c>
      <c r="T37" s="35" t="n">
        <f aca="false">T27+SUM(T28:T36)</f>
        <v>150</v>
      </c>
      <c r="U37" s="13" t="n">
        <f aca="false">U27+SUM(U28:U36)</f>
        <v>137.5</v>
      </c>
      <c r="V37" s="13" t="n">
        <f aca="false">V27+SUM(V28:V36)</f>
        <v>125</v>
      </c>
      <c r="W37" s="13" t="n">
        <f aca="false">W27+SUM(W28:W36)</f>
        <v>125</v>
      </c>
      <c r="X37" s="13" t="n">
        <f aca="false">X27+SUM(X28:X36)</f>
        <v>125</v>
      </c>
      <c r="Y37" s="13" t="n">
        <f aca="false">Y27+SUM(Y28:Y36)</f>
        <v>125</v>
      </c>
      <c r="Z37" s="13" t="n">
        <f aca="false">SUM(Z28:Z36)</f>
        <v>925</v>
      </c>
    </row>
    <row r="38" customFormat="false" ht="15" hidden="false" customHeight="false" outlineLevel="0" collapsed="false">
      <c r="B38" s="8" t="s">
        <v>203</v>
      </c>
      <c r="C38" s="8" t="s">
        <v>204</v>
      </c>
      <c r="D38" s="13" t="n">
        <f aca="false">D27+SUM(D28:D37)</f>
        <v>125</v>
      </c>
      <c r="E38" s="13" t="n">
        <f aca="false">E27+SUM(E28:E37)</f>
        <v>128.75</v>
      </c>
      <c r="F38" s="13" t="n">
        <f aca="false">F27+SUM(F28:F37)</f>
        <v>130</v>
      </c>
      <c r="G38" s="35" t="n">
        <f aca="false">G27+SUM(G28:G37)</f>
        <v>156.25</v>
      </c>
      <c r="H38" s="13" t="n">
        <f aca="false">H27+SUM(H28:H37)</f>
        <v>127.5</v>
      </c>
      <c r="I38" s="13" t="n">
        <f aca="false">I27+SUM(I28:I37)</f>
        <v>126.25</v>
      </c>
      <c r="J38" s="13" t="n">
        <f aca="false">J27+SUM(J28:J37)</f>
        <v>125</v>
      </c>
      <c r="K38" s="13" t="n">
        <f aca="false">K27+SUM(K28:K37)</f>
        <v>125</v>
      </c>
      <c r="L38" s="13" t="n">
        <f aca="false">L27+SUM(L28:L37)</f>
        <v>125</v>
      </c>
      <c r="M38" s="13" t="n">
        <f aca="false">SUM(M28:M37)</f>
        <v>908.75</v>
      </c>
      <c r="O38" s="2" t="s">
        <v>205</v>
      </c>
      <c r="Q38" s="37" t="n">
        <f aca="false">Q37/Q26</f>
        <v>1</v>
      </c>
      <c r="R38" s="37" t="n">
        <f aca="false">R37/R26</f>
        <v>1</v>
      </c>
      <c r="S38" s="37" t="n">
        <f aca="false">S37/S26</f>
        <v>1</v>
      </c>
      <c r="T38" s="36" t="n">
        <f aca="false">T37/T26</f>
        <v>1</v>
      </c>
      <c r="U38" s="37" t="n">
        <f aca="false">U37/U26</f>
        <v>1.1</v>
      </c>
      <c r="V38" s="37" t="n">
        <f aca="false">V37/V26</f>
        <v>1</v>
      </c>
      <c r="W38" s="37" t="n">
        <f aca="false">W37/W26</f>
        <v>1</v>
      </c>
      <c r="X38" s="37" t="n">
        <f aca="false">X37/X26</f>
        <v>1</v>
      </c>
      <c r="Y38" s="37" t="n">
        <f aca="false">Y37/Y26</f>
        <v>1</v>
      </c>
    </row>
    <row r="39" customFormat="false" ht="15" hidden="false" customHeight="false" outlineLevel="0" collapsed="false">
      <c r="B39" s="2" t="s">
        <v>205</v>
      </c>
      <c r="D39" s="37" t="n">
        <f aca="false">D38/D26</f>
        <v>1</v>
      </c>
      <c r="E39" s="37" t="n">
        <f aca="false">E38/E26</f>
        <v>1.03</v>
      </c>
      <c r="F39" s="37" t="n">
        <f aca="false">F38/F26</f>
        <v>1.04</v>
      </c>
      <c r="G39" s="36" t="n">
        <f aca="false">G38/G26</f>
        <v>1.04166666666667</v>
      </c>
      <c r="H39" s="37" t="n">
        <f aca="false">H38/H26</f>
        <v>1.02</v>
      </c>
      <c r="I39" s="37" t="n">
        <f aca="false">I38/I26</f>
        <v>1.01</v>
      </c>
      <c r="J39" s="37" t="n">
        <f aca="false">J38/J26</f>
        <v>1</v>
      </c>
      <c r="K39" s="37" t="n">
        <f aca="false">K38/K26</f>
        <v>1</v>
      </c>
      <c r="L39" s="37" t="n">
        <f aca="false">L38/L26</f>
        <v>1</v>
      </c>
      <c r="O39" s="2" t="s">
        <v>206</v>
      </c>
      <c r="Q39" s="39" t="n">
        <f aca="false">Q37-Assumptions!$C$5</f>
        <v>25</v>
      </c>
      <c r="R39" s="39" t="n">
        <f aca="false">R37-Q37</f>
        <v>0</v>
      </c>
      <c r="S39" s="39" t="n">
        <f aca="false">S37-R37</f>
        <v>0</v>
      </c>
      <c r="T39" s="38" t="n">
        <f aca="false">T37-S37</f>
        <v>25</v>
      </c>
      <c r="U39" s="39" t="n">
        <f aca="false">U37-T37</f>
        <v>-12.5</v>
      </c>
      <c r="V39" s="39" t="n">
        <f aca="false">V37-U37</f>
        <v>-12.5</v>
      </c>
      <c r="W39" s="39" t="n">
        <f aca="false">W37-V37</f>
        <v>0</v>
      </c>
      <c r="X39" s="39" t="n">
        <f aca="false">X37-W37</f>
        <v>0</v>
      </c>
      <c r="Y39" s="39" t="n">
        <f aca="false">Y37-X37</f>
        <v>0</v>
      </c>
    </row>
    <row r="40" customFormat="false" ht="15" hidden="false" customHeight="false" outlineLevel="0" collapsed="false">
      <c r="B40" s="2" t="s">
        <v>206</v>
      </c>
      <c r="D40" s="39" t="n">
        <f aca="false">D38-Assumptions!$C$5</f>
        <v>25</v>
      </c>
      <c r="E40" s="39" t="n">
        <f aca="false">E38-D38</f>
        <v>3.75</v>
      </c>
      <c r="F40" s="39" t="n">
        <f aca="false">F38-E38</f>
        <v>1.25</v>
      </c>
      <c r="G40" s="38" t="n">
        <f aca="false">G38-F38</f>
        <v>26.25</v>
      </c>
      <c r="H40" s="39" t="n">
        <f aca="false">H38-G38</f>
        <v>-28.75</v>
      </c>
      <c r="I40" s="39" t="n">
        <f aca="false">I38-H38</f>
        <v>-1.25</v>
      </c>
      <c r="J40" s="39" t="n">
        <f aca="false">J38-I38</f>
        <v>-1.25</v>
      </c>
      <c r="K40" s="39" t="n">
        <f aca="false">K38-J38</f>
        <v>0</v>
      </c>
      <c r="L40" s="39" t="n">
        <f aca="false">L38-K38</f>
        <v>0</v>
      </c>
      <c r="T40" s="34"/>
    </row>
    <row r="41" customFormat="false" ht="15" hidden="false" customHeight="false" outlineLevel="0" collapsed="false">
      <c r="G41" s="34"/>
    </row>
    <row r="44" customFormat="false" ht="15" hidden="false" customHeight="false" outlineLevel="0" collapsed="false">
      <c r="B44" s="3" t="s">
        <v>222</v>
      </c>
    </row>
    <row r="45" customFormat="false" ht="15" hidden="false" customHeight="false" outlineLevel="0" collapsed="false">
      <c r="B45" s="5" t="s">
        <v>180</v>
      </c>
      <c r="C45" s="7" t="s">
        <v>181</v>
      </c>
      <c r="D45" s="7" t="s">
        <v>91</v>
      </c>
      <c r="E45" s="7" t="s">
        <v>92</v>
      </c>
      <c r="F45" s="7" t="s">
        <v>93</v>
      </c>
      <c r="G45" s="7" t="s">
        <v>94</v>
      </c>
      <c r="H45" s="7" t="s">
        <v>95</v>
      </c>
      <c r="I45" s="7" t="s">
        <v>96</v>
      </c>
      <c r="J45" s="7" t="s">
        <v>97</v>
      </c>
      <c r="K45" s="7" t="s">
        <v>98</v>
      </c>
      <c r="L45" s="7" t="s">
        <v>99</v>
      </c>
      <c r="M45" s="7" t="s">
        <v>100</v>
      </c>
      <c r="O45" s="25" t="s">
        <v>182</v>
      </c>
      <c r="P45" s="26" t="s">
        <v>181</v>
      </c>
      <c r="Q45" s="26" t="s">
        <v>91</v>
      </c>
      <c r="R45" s="26" t="s">
        <v>92</v>
      </c>
      <c r="S45" s="26" t="s">
        <v>93</v>
      </c>
      <c r="T45" s="26" t="s">
        <v>94</v>
      </c>
      <c r="U45" s="26" t="s">
        <v>95</v>
      </c>
      <c r="V45" s="26" t="s">
        <v>96</v>
      </c>
      <c r="W45" s="26" t="s">
        <v>97</v>
      </c>
      <c r="X45" s="26" t="s">
        <v>98</v>
      </c>
      <c r="Y45" s="26" t="s">
        <v>99</v>
      </c>
      <c r="Z45" s="26" t="s">
        <v>100</v>
      </c>
    </row>
    <row r="46" customFormat="false" ht="15" hidden="false" customHeight="false" outlineLevel="0" collapsed="false">
      <c r="B46" s="2" t="s">
        <v>183</v>
      </c>
      <c r="D46" s="28" t="n">
        <f aca="false">Assumptions!$C$5*Assumptions!$C$6</f>
        <v>125</v>
      </c>
      <c r="E46" s="28" t="n">
        <f aca="false">Assumptions!$C$5*Assumptions!$C$6</f>
        <v>125</v>
      </c>
      <c r="F46" s="28" t="n">
        <f aca="false">Assumptions!$C$5*Assumptions!$C$6</f>
        <v>125</v>
      </c>
      <c r="G46" s="27" t="n">
        <f aca="false">Assumptions!$C$5*Assumptions!$C$7</f>
        <v>150</v>
      </c>
      <c r="H46" s="28" t="n">
        <f aca="false">Assumptions!$C$5*Assumptions!$C$6</f>
        <v>125</v>
      </c>
      <c r="I46" s="28" t="n">
        <f aca="false">Assumptions!$C$5*Assumptions!$C$6</f>
        <v>125</v>
      </c>
      <c r="J46" s="28" t="n">
        <f aca="false">Assumptions!$C$5*Assumptions!$C$6</f>
        <v>125</v>
      </c>
      <c r="K46" s="28" t="n">
        <f aca="false">Assumptions!$C$5*Assumptions!$C$6</f>
        <v>125</v>
      </c>
      <c r="L46" s="28" t="n">
        <f aca="false">Assumptions!$C$5*Assumptions!$C$6</f>
        <v>125</v>
      </c>
      <c r="O46" s="2" t="s">
        <v>183</v>
      </c>
      <c r="Q46" s="28" t="n">
        <f aca="false">Assumptions!$C$5*Assumptions!$C$6</f>
        <v>125</v>
      </c>
      <c r="R46" s="28" t="n">
        <f aca="false">Assumptions!$C$5*Assumptions!$C$6</f>
        <v>125</v>
      </c>
      <c r="S46" s="28" t="n">
        <f aca="false">Assumptions!$C$5*Assumptions!$C$6</f>
        <v>125</v>
      </c>
      <c r="T46" s="27" t="n">
        <f aca="false">Assumptions!$C$5*Assumptions!$C$7</f>
        <v>150</v>
      </c>
      <c r="U46" s="28" t="n">
        <f aca="false">Assumptions!$C$5*Assumptions!$C$6</f>
        <v>125</v>
      </c>
      <c r="V46" s="28" t="n">
        <f aca="false">Assumptions!$C$5*Assumptions!$C$6</f>
        <v>125</v>
      </c>
      <c r="W46" s="28" t="n">
        <f aca="false">Assumptions!$C$5*Assumptions!$C$6</f>
        <v>125</v>
      </c>
      <c r="X46" s="28" t="n">
        <f aca="false">Assumptions!$C$5*Assumptions!$C$6</f>
        <v>125</v>
      </c>
      <c r="Y46" s="28" t="n">
        <f aca="false">Assumptions!$C$5*Assumptions!$C$6</f>
        <v>125</v>
      </c>
    </row>
    <row r="47" customFormat="false" ht="15" hidden="false" customHeight="false" outlineLevel="0" collapsed="false">
      <c r="B47" s="4" t="s">
        <v>184</v>
      </c>
      <c r="D47" s="30" t="n">
        <v>100</v>
      </c>
      <c r="E47" s="30" t="n">
        <v>100</v>
      </c>
      <c r="F47" s="30" t="n">
        <v>100</v>
      </c>
      <c r="G47" s="29" t="n">
        <v>25</v>
      </c>
      <c r="H47" s="30" t="n">
        <v>0</v>
      </c>
      <c r="I47" s="30" t="n">
        <v>0</v>
      </c>
      <c r="J47" s="30" t="n">
        <v>0</v>
      </c>
      <c r="K47" s="30" t="n">
        <v>0</v>
      </c>
      <c r="L47" s="30" t="n">
        <v>0</v>
      </c>
      <c r="O47" s="4" t="s">
        <v>184</v>
      </c>
      <c r="Q47" s="30" t="n">
        <v>100</v>
      </c>
      <c r="R47" s="30" t="n">
        <v>100</v>
      </c>
      <c r="S47" s="30" t="n">
        <v>100</v>
      </c>
      <c r="T47" s="29" t="n">
        <v>25</v>
      </c>
      <c r="U47" s="30" t="n">
        <v>0</v>
      </c>
      <c r="V47" s="30" t="n">
        <v>0</v>
      </c>
      <c r="W47" s="30" t="n">
        <v>0</v>
      </c>
      <c r="X47" s="30" t="n">
        <v>0</v>
      </c>
      <c r="Y47" s="30" t="n">
        <v>0</v>
      </c>
    </row>
    <row r="48" customFormat="false" ht="15" hidden="false" customHeight="false" outlineLevel="0" collapsed="false">
      <c r="B48" s="4" t="s">
        <v>208</v>
      </c>
      <c r="C48" s="31" t="n">
        <f aca="false">MAX(Assumptions!$C$5*Assumptions!$C$12,D46-(D47))</f>
        <v>25</v>
      </c>
      <c r="D48" s="33" t="n">
        <f aca="false">$C48*Assumptions!$C$23</f>
        <v>25</v>
      </c>
      <c r="E48" s="33" t="n">
        <f aca="false">$C48*Assumptions!$D$23</f>
        <v>3.75</v>
      </c>
      <c r="F48" s="33" t="n">
        <f aca="false">$C48*Assumptions!$E$23</f>
        <v>1.25</v>
      </c>
      <c r="G48" s="32" t="n">
        <f aca="false">$C48*Assumptions!$F$23</f>
        <v>1.25</v>
      </c>
      <c r="M48" s="33" t="n">
        <f aca="false">$C48*Assumptions!$G$23</f>
        <v>31.25</v>
      </c>
      <c r="O48" s="4" t="s">
        <v>209</v>
      </c>
      <c r="P48" s="31" t="n">
        <f aca="false">MAX(Assumptions!$C$5*Assumptions!$C$12,Q46-(Q47))</f>
        <v>25</v>
      </c>
      <c r="Q48" s="33" t="n">
        <f aca="false">$P48*Assumptions!$C$21</f>
        <v>25</v>
      </c>
      <c r="R48" s="33" t="n">
        <f aca="false">$P48*Assumptions!$D$21</f>
        <v>0</v>
      </c>
      <c r="S48" s="33" t="n">
        <f aca="false">$P48*Assumptions!$E$21</f>
        <v>0</v>
      </c>
      <c r="T48" s="32" t="n">
        <f aca="false">$P48*Assumptions!$F$21</f>
        <v>0</v>
      </c>
      <c r="Z48" s="33" t="n">
        <f aca="false">$P48*Assumptions!$G$21</f>
        <v>25</v>
      </c>
    </row>
    <row r="49" customFormat="false" ht="15" hidden="false" customHeight="false" outlineLevel="0" collapsed="false">
      <c r="B49" s="4" t="s">
        <v>210</v>
      </c>
      <c r="C49" s="31" t="n">
        <f aca="false">MAX(Assumptions!$C$5*Assumptions!$C$12,E46-(E47))</f>
        <v>25</v>
      </c>
      <c r="E49" s="33" t="n">
        <f aca="false">$C49*Assumptions!$C$23</f>
        <v>25</v>
      </c>
      <c r="F49" s="33" t="n">
        <f aca="false">$C49*Assumptions!$D$23</f>
        <v>3.75</v>
      </c>
      <c r="G49" s="32" t="n">
        <f aca="false">$C49*Assumptions!$E$23</f>
        <v>1.25</v>
      </c>
      <c r="H49" s="33" t="n">
        <f aca="false">$C49*Assumptions!$F$23</f>
        <v>1.25</v>
      </c>
      <c r="M49" s="33" t="n">
        <f aca="false">$C49*Assumptions!$G$23</f>
        <v>31.25</v>
      </c>
      <c r="O49" s="4" t="s">
        <v>211</v>
      </c>
      <c r="P49" s="31" t="n">
        <f aca="false">MAX(Assumptions!$C$5*Assumptions!$C$12,R46-(R47))</f>
        <v>25</v>
      </c>
      <c r="R49" s="33" t="n">
        <f aca="false">$P49*Assumptions!$C$21</f>
        <v>25</v>
      </c>
      <c r="S49" s="33" t="n">
        <f aca="false">$P49*Assumptions!$D$21</f>
        <v>0</v>
      </c>
      <c r="T49" s="32" t="n">
        <f aca="false">$P49*Assumptions!$E$21</f>
        <v>0</v>
      </c>
      <c r="U49" s="33" t="n">
        <f aca="false">$P49*Assumptions!$F$21</f>
        <v>0</v>
      </c>
      <c r="Z49" s="33" t="n">
        <f aca="false">$P49*Assumptions!$G$21</f>
        <v>25</v>
      </c>
    </row>
    <row r="50" customFormat="false" ht="15" hidden="false" customHeight="false" outlineLevel="0" collapsed="false">
      <c r="B50" s="4" t="s">
        <v>212</v>
      </c>
      <c r="C50" s="31" t="n">
        <f aca="false">MAX(Assumptions!$C$5*Assumptions!$C$12,F46-(F47))</f>
        <v>25</v>
      </c>
      <c r="F50" s="33" t="n">
        <f aca="false">$C50*Assumptions!$C$23</f>
        <v>25</v>
      </c>
      <c r="G50" s="32" t="n">
        <f aca="false">$C50*Assumptions!$D$23</f>
        <v>3.75</v>
      </c>
      <c r="H50" s="33" t="n">
        <f aca="false">$C50*Assumptions!$E$23</f>
        <v>1.25</v>
      </c>
      <c r="I50" s="33" t="n">
        <f aca="false">$C50*Assumptions!$F$23</f>
        <v>1.25</v>
      </c>
      <c r="M50" s="33" t="n">
        <f aca="false">$C50*Assumptions!$G$23</f>
        <v>31.25</v>
      </c>
      <c r="O50" s="4" t="s">
        <v>213</v>
      </c>
      <c r="P50" s="31" t="n">
        <f aca="false">MAX(Assumptions!$C$5*Assumptions!$C$12,S46-(S47))</f>
        <v>25</v>
      </c>
      <c r="S50" s="33" t="n">
        <f aca="false">$P50*Assumptions!$C$21</f>
        <v>25</v>
      </c>
      <c r="T50" s="32" t="n">
        <f aca="false">$P50*Assumptions!$D$21</f>
        <v>0</v>
      </c>
      <c r="U50" s="33" t="n">
        <f aca="false">$P50*Assumptions!$E$21</f>
        <v>0</v>
      </c>
      <c r="V50" s="33" t="n">
        <f aca="false">$P50*Assumptions!$F$21</f>
        <v>0</v>
      </c>
      <c r="Z50" s="33" t="n">
        <f aca="false">$P50*Assumptions!$G$21</f>
        <v>25</v>
      </c>
    </row>
    <row r="51" customFormat="false" ht="15" hidden="false" customHeight="false" outlineLevel="0" collapsed="false">
      <c r="B51" s="4" t="s">
        <v>214</v>
      </c>
      <c r="C51" s="31" t="n">
        <f aca="false">MAX(Assumptions!$C$5*Assumptions!$C$12*Assumptions!$C$7,G46-(G47))</f>
        <v>125</v>
      </c>
      <c r="G51" s="32" t="n">
        <f aca="false">$C51*Assumptions!$C$21</f>
        <v>125</v>
      </c>
      <c r="H51" s="33" t="n">
        <f aca="false">$C51*Assumptions!$D$21</f>
        <v>0</v>
      </c>
      <c r="I51" s="33" t="n">
        <f aca="false">$C51*Assumptions!$E$21</f>
        <v>0</v>
      </c>
      <c r="J51" s="33" t="n">
        <f aca="false">$C51*Assumptions!$F$21</f>
        <v>0</v>
      </c>
      <c r="M51" s="33" t="n">
        <f aca="false">$C51*Assumptions!$G$21</f>
        <v>125</v>
      </c>
      <c r="O51" s="4" t="s">
        <v>223</v>
      </c>
      <c r="P51" s="31" t="n">
        <f aca="false">T46-(T47+$P52)</f>
        <v>62.5</v>
      </c>
      <c r="T51" s="32" t="n">
        <f aca="false">$P51*Assumptions!$C$21</f>
        <v>62.5</v>
      </c>
      <c r="U51" s="33" t="n">
        <f aca="false">$P51*Assumptions!$D$21</f>
        <v>0</v>
      </c>
      <c r="V51" s="33" t="n">
        <f aca="false">$P51*Assumptions!$E$21</f>
        <v>0</v>
      </c>
      <c r="W51" s="33" t="n">
        <f aca="false">$P51*Assumptions!$F$21</f>
        <v>0</v>
      </c>
      <c r="Z51" s="33" t="n">
        <f aca="false">$P51*Assumptions!$G$21</f>
        <v>62.5</v>
      </c>
    </row>
    <row r="52" customFormat="false" ht="15" hidden="false" customHeight="false" outlineLevel="0" collapsed="false">
      <c r="B52" s="4" t="s">
        <v>216</v>
      </c>
      <c r="C52" s="31" t="n">
        <f aca="false">Assumptions!$C$5</f>
        <v>100</v>
      </c>
      <c r="G52" s="32" t="n">
        <f aca="false">$C52*Assumptions!$C$22</f>
        <v>0</v>
      </c>
      <c r="H52" s="33" t="n">
        <f aca="false">$C52*Assumptions!$D$22</f>
        <v>25</v>
      </c>
      <c r="I52" s="33" t="n">
        <f aca="false">$C52*Assumptions!$E$22</f>
        <v>10</v>
      </c>
      <c r="J52" s="33" t="n">
        <f aca="false">$C52*Assumptions!$F$22</f>
        <v>5</v>
      </c>
      <c r="M52" s="33" t="n">
        <f aca="false">$C52*Assumptions!$G$22</f>
        <v>40</v>
      </c>
      <c r="O52" s="4" t="s">
        <v>224</v>
      </c>
      <c r="P52" s="31" t="n">
        <f aca="false">Assumptions!$C$11*Assumptions!$C$5*Assumptions!$C$6</f>
        <v>62.5</v>
      </c>
      <c r="T52" s="32" t="n">
        <f aca="false">$P52*Assumptions!$C$18</f>
        <v>62.5</v>
      </c>
      <c r="U52" s="33" t="n">
        <f aca="false">$P52*Assumptions!$D$18</f>
        <v>62.5</v>
      </c>
      <c r="V52" s="33" t="n">
        <f aca="false">$P52*Assumptions!$E$18</f>
        <v>0</v>
      </c>
      <c r="W52" s="33" t="n">
        <f aca="false">$P52*Assumptions!$F$18</f>
        <v>0</v>
      </c>
      <c r="Z52" s="33" t="n">
        <f aca="false">$P52*Assumptions!$G$18</f>
        <v>125</v>
      </c>
    </row>
    <row r="53" customFormat="false" ht="15" hidden="false" customHeight="false" outlineLevel="0" collapsed="false">
      <c r="B53" s="4" t="s">
        <v>193</v>
      </c>
      <c r="C53" s="31" t="n">
        <f aca="false">Assumptions!$C$5</f>
        <v>100</v>
      </c>
      <c r="G53" s="34"/>
      <c r="H53" s="33" t="n">
        <f aca="false">$C53*Assumptions!$C$17</f>
        <v>100</v>
      </c>
      <c r="I53" s="33" t="n">
        <f aca="false">$C53*Assumptions!$D$17</f>
        <v>15</v>
      </c>
      <c r="J53" s="33" t="n">
        <f aca="false">$C53*Assumptions!$E$17</f>
        <v>5</v>
      </c>
      <c r="K53" s="33" t="n">
        <f aca="false">$C53*Assumptions!$F$17</f>
        <v>5</v>
      </c>
      <c r="M53" s="33" t="n">
        <f aca="false">$C53*Assumptions!$G$17</f>
        <v>125</v>
      </c>
      <c r="O53" s="4" t="s">
        <v>217</v>
      </c>
      <c r="P53" s="31" t="n">
        <f aca="false">Assumptions!$C$11*Assumptions!$C$5*Assumptions!$C$6</f>
        <v>62.5</v>
      </c>
      <c r="T53" s="34"/>
      <c r="U53" s="33" t="n">
        <f aca="false">$P53*Assumptions!$C$18</f>
        <v>62.5</v>
      </c>
      <c r="V53" s="33" t="n">
        <f aca="false">$P53*Assumptions!$D$18</f>
        <v>62.5</v>
      </c>
      <c r="W53" s="33" t="n">
        <f aca="false">$P53*Assumptions!$E$18</f>
        <v>0</v>
      </c>
      <c r="X53" s="33" t="n">
        <f aca="false">$P53*Assumptions!$F$18</f>
        <v>0</v>
      </c>
      <c r="Z53" s="33" t="n">
        <f aca="false">$P53*Assumptions!$G$18</f>
        <v>125</v>
      </c>
    </row>
    <row r="54" customFormat="false" ht="15" hidden="false" customHeight="false" outlineLevel="0" collapsed="false">
      <c r="B54" s="4" t="s">
        <v>195</v>
      </c>
      <c r="C54" s="31" t="n">
        <f aca="false">Assumptions!$C$5</f>
        <v>100</v>
      </c>
      <c r="G54" s="34"/>
      <c r="I54" s="33" t="n">
        <f aca="false">$C54*Assumptions!$C$17</f>
        <v>100</v>
      </c>
      <c r="J54" s="33" t="n">
        <f aca="false">$C54*Assumptions!$D$17</f>
        <v>15</v>
      </c>
      <c r="K54" s="33" t="n">
        <f aca="false">$C54*Assumptions!$E$17</f>
        <v>5</v>
      </c>
      <c r="L54" s="33" t="n">
        <f aca="false">$C54*Assumptions!$F$17</f>
        <v>5</v>
      </c>
      <c r="M54" s="33" t="n">
        <f aca="false">$C54*Assumptions!$G$17</f>
        <v>125</v>
      </c>
      <c r="O54" s="4" t="s">
        <v>218</v>
      </c>
      <c r="P54" s="31" t="n">
        <f aca="false">Assumptions!$C$11*Assumptions!$C$5*Assumptions!$C$6</f>
        <v>62.5</v>
      </c>
      <c r="T54" s="34"/>
      <c r="V54" s="33" t="n">
        <f aca="false">$P54*Assumptions!$C$18</f>
        <v>62.5</v>
      </c>
      <c r="W54" s="33" t="n">
        <f aca="false">$P54*Assumptions!$D$18</f>
        <v>62.5</v>
      </c>
      <c r="X54" s="33" t="n">
        <f aca="false">$P54*Assumptions!$E$18</f>
        <v>0</v>
      </c>
      <c r="Y54" s="33" t="n">
        <f aca="false">$P54*Assumptions!$F$18</f>
        <v>0</v>
      </c>
      <c r="Z54" s="33" t="n">
        <f aca="false">$P54*Assumptions!$G$18</f>
        <v>125</v>
      </c>
    </row>
    <row r="55" customFormat="false" ht="15" hidden="false" customHeight="false" outlineLevel="0" collapsed="false">
      <c r="B55" s="4" t="s">
        <v>197</v>
      </c>
      <c r="C55" s="31" t="n">
        <f aca="false">Assumptions!$C$5</f>
        <v>100</v>
      </c>
      <c r="G55" s="34"/>
      <c r="J55" s="33" t="n">
        <f aca="false">$C55*Assumptions!$C$17</f>
        <v>100</v>
      </c>
      <c r="K55" s="33" t="n">
        <f aca="false">$C55*Assumptions!$D$17</f>
        <v>15</v>
      </c>
      <c r="L55" s="33" t="n">
        <f aca="false">$C55*Assumptions!$E$17</f>
        <v>5</v>
      </c>
      <c r="M55" s="33" t="n">
        <f aca="false">$C55*Assumptions!$G$17</f>
        <v>125</v>
      </c>
      <c r="O55" s="4" t="s">
        <v>219</v>
      </c>
      <c r="P55" s="31" t="n">
        <f aca="false">Assumptions!$C$11*Assumptions!$C$5*Assumptions!$C$6</f>
        <v>62.5</v>
      </c>
      <c r="T55" s="34"/>
      <c r="W55" s="33" t="n">
        <f aca="false">$P55*Assumptions!$C$18</f>
        <v>62.5</v>
      </c>
      <c r="X55" s="33" t="n">
        <f aca="false">$P55*Assumptions!$D$18</f>
        <v>62.5</v>
      </c>
      <c r="Y55" s="33" t="n">
        <f aca="false">$P55*Assumptions!$E$18</f>
        <v>0</v>
      </c>
      <c r="Z55" s="33" t="n">
        <f aca="false">$P55*Assumptions!$G$18</f>
        <v>125</v>
      </c>
    </row>
    <row r="56" customFormat="false" ht="15" hidden="false" customHeight="false" outlineLevel="0" collapsed="false">
      <c r="B56" s="4" t="s">
        <v>199</v>
      </c>
      <c r="C56" s="31" t="n">
        <f aca="false">Assumptions!$C$5</f>
        <v>100</v>
      </c>
      <c r="G56" s="34"/>
      <c r="K56" s="33" t="n">
        <f aca="false">$C56*Assumptions!$C$17</f>
        <v>100</v>
      </c>
      <c r="L56" s="33" t="n">
        <f aca="false">$C56*Assumptions!$D$17</f>
        <v>15</v>
      </c>
      <c r="M56" s="33" t="n">
        <f aca="false">$C56*Assumptions!$G$17</f>
        <v>125</v>
      </c>
      <c r="O56" s="4" t="s">
        <v>220</v>
      </c>
      <c r="P56" s="31" t="n">
        <f aca="false">Assumptions!$C$11*Assumptions!$C$5*Assumptions!$C$6</f>
        <v>62.5</v>
      </c>
      <c r="T56" s="34"/>
      <c r="X56" s="33" t="n">
        <f aca="false">$P56*Assumptions!$C$18</f>
        <v>62.5</v>
      </c>
      <c r="Y56" s="33" t="n">
        <f aca="false">$P56*Assumptions!$D$18</f>
        <v>62.5</v>
      </c>
      <c r="Z56" s="33" t="n">
        <f aca="false">$P56*Assumptions!$G$18</f>
        <v>125</v>
      </c>
    </row>
    <row r="57" customFormat="false" ht="15" hidden="false" customHeight="false" outlineLevel="0" collapsed="false">
      <c r="B57" s="4" t="s">
        <v>201</v>
      </c>
      <c r="C57" s="31" t="n">
        <f aca="false">Assumptions!$C$5</f>
        <v>100</v>
      </c>
      <c r="G57" s="34"/>
      <c r="L57" s="33" t="n">
        <f aca="false">$C57*Assumptions!$C$17</f>
        <v>100</v>
      </c>
      <c r="M57" s="33" t="n">
        <f aca="false">$C57*Assumptions!$G$17</f>
        <v>125</v>
      </c>
      <c r="O57" s="4" t="s">
        <v>221</v>
      </c>
      <c r="P57" s="31" t="n">
        <f aca="false">Assumptions!$C$11*Assumptions!$C$5*Assumptions!$C$6</f>
        <v>62.5</v>
      </c>
      <c r="T57" s="34"/>
      <c r="Y57" s="33" t="n">
        <f aca="false">$P57*Assumptions!$C$18</f>
        <v>62.5</v>
      </c>
      <c r="Z57" s="33" t="n">
        <f aca="false">$P57*Assumptions!$G$18</f>
        <v>125</v>
      </c>
    </row>
    <row r="58" customFormat="false" ht="15" hidden="false" customHeight="false" outlineLevel="0" collapsed="false">
      <c r="B58" s="8" t="s">
        <v>203</v>
      </c>
      <c r="C58" s="8" t="s">
        <v>204</v>
      </c>
      <c r="D58" s="13" t="n">
        <f aca="false">D47+SUM(D48:D57)</f>
        <v>125</v>
      </c>
      <c r="E58" s="13" t="n">
        <f aca="false">E47+SUM(E48:E57)</f>
        <v>128.75</v>
      </c>
      <c r="F58" s="13" t="n">
        <f aca="false">F47+SUM(F48:F57)</f>
        <v>130</v>
      </c>
      <c r="G58" s="35" t="n">
        <f aca="false">G47+SUM(G48:G57)</f>
        <v>156.25</v>
      </c>
      <c r="H58" s="13" t="n">
        <f aca="false">H47+SUM(H48:H57)</f>
        <v>127.5</v>
      </c>
      <c r="I58" s="13" t="n">
        <f aca="false">I47+SUM(I48:I57)</f>
        <v>126.25</v>
      </c>
      <c r="J58" s="13" t="n">
        <f aca="false">J47+SUM(J48:J57)</f>
        <v>125</v>
      </c>
      <c r="K58" s="13" t="n">
        <f aca="false">K47+SUM(K48:K57)</f>
        <v>125</v>
      </c>
      <c r="L58" s="13" t="n">
        <f aca="false">L47+SUM(L48:L57)</f>
        <v>125</v>
      </c>
      <c r="M58" s="13" t="n">
        <f aca="false">SUM(M48:M57)</f>
        <v>883.75</v>
      </c>
      <c r="O58" s="8" t="s">
        <v>203</v>
      </c>
      <c r="P58" s="8" t="s">
        <v>204</v>
      </c>
      <c r="Q58" s="13" t="n">
        <f aca="false">Q47+SUM(Q48:Q57)</f>
        <v>125</v>
      </c>
      <c r="R58" s="13" t="n">
        <f aca="false">R47+SUM(R48:R57)</f>
        <v>125</v>
      </c>
      <c r="S58" s="13" t="n">
        <f aca="false">S47+SUM(S48:S57)</f>
        <v>125</v>
      </c>
      <c r="T58" s="35" t="n">
        <f aca="false">T47+SUM(T48:T57)</f>
        <v>150</v>
      </c>
      <c r="U58" s="13" t="n">
        <f aca="false">U47+SUM(U48:U57)</f>
        <v>125</v>
      </c>
      <c r="V58" s="13" t="n">
        <f aca="false">V47+SUM(V48:V57)</f>
        <v>125</v>
      </c>
      <c r="W58" s="13" t="n">
        <f aca="false">W47+SUM(W48:W57)</f>
        <v>125</v>
      </c>
      <c r="X58" s="13" t="n">
        <f aca="false">X47+SUM(X48:X57)</f>
        <v>125</v>
      </c>
      <c r="Y58" s="13" t="n">
        <f aca="false">Y47+SUM(Y48:Y57)</f>
        <v>125</v>
      </c>
      <c r="Z58" s="13" t="n">
        <f aca="false">SUM(Z48:Z57)</f>
        <v>887.5</v>
      </c>
    </row>
    <row r="59" customFormat="false" ht="15" hidden="false" customHeight="false" outlineLevel="0" collapsed="false">
      <c r="B59" s="2" t="s">
        <v>205</v>
      </c>
      <c r="D59" s="37" t="n">
        <f aca="false">D58/D46</f>
        <v>1</v>
      </c>
      <c r="E59" s="37" t="n">
        <f aca="false">E58/E46</f>
        <v>1.03</v>
      </c>
      <c r="F59" s="37" t="n">
        <f aca="false">F58/F46</f>
        <v>1.04</v>
      </c>
      <c r="G59" s="36" t="n">
        <f aca="false">G58/G46</f>
        <v>1.04166666666667</v>
      </c>
      <c r="H59" s="37" t="n">
        <f aca="false">H58/H46</f>
        <v>1.02</v>
      </c>
      <c r="I59" s="37" t="n">
        <f aca="false">I58/I46</f>
        <v>1.01</v>
      </c>
      <c r="J59" s="37" t="n">
        <f aca="false">J58/J46</f>
        <v>1</v>
      </c>
      <c r="K59" s="37" t="n">
        <f aca="false">K58/K46</f>
        <v>1</v>
      </c>
      <c r="L59" s="37" t="n">
        <f aca="false">L58/L46</f>
        <v>1</v>
      </c>
      <c r="O59" s="2" t="s">
        <v>205</v>
      </c>
      <c r="Q59" s="37" t="n">
        <f aca="false">Q58/Q46</f>
        <v>1</v>
      </c>
      <c r="R59" s="37" t="n">
        <f aca="false">R58/R46</f>
        <v>1</v>
      </c>
      <c r="S59" s="37" t="n">
        <f aca="false">S58/S46</f>
        <v>1</v>
      </c>
      <c r="T59" s="36" t="n">
        <f aca="false">T58/T46</f>
        <v>1</v>
      </c>
      <c r="U59" s="37" t="n">
        <f aca="false">U58/U46</f>
        <v>1</v>
      </c>
      <c r="V59" s="37" t="n">
        <f aca="false">V58/V46</f>
        <v>1</v>
      </c>
      <c r="W59" s="37" t="n">
        <f aca="false">W58/W46</f>
        <v>1</v>
      </c>
      <c r="X59" s="37" t="n">
        <f aca="false">X58/X46</f>
        <v>1</v>
      </c>
      <c r="Y59" s="37" t="n">
        <f aca="false">Y58/Y46</f>
        <v>1</v>
      </c>
    </row>
    <row r="60" customFormat="false" ht="15" hidden="false" customHeight="false" outlineLevel="0" collapsed="false">
      <c r="B60" s="2" t="s">
        <v>206</v>
      </c>
      <c r="D60" s="39" t="n">
        <f aca="false">D58-Assumptions!$C$5</f>
        <v>25</v>
      </c>
      <c r="E60" s="39" t="n">
        <f aca="false">E58-D58</f>
        <v>3.75</v>
      </c>
      <c r="F60" s="39" t="n">
        <f aca="false">F58-E58</f>
        <v>1.25</v>
      </c>
      <c r="G60" s="38" t="n">
        <f aca="false">G58-F58</f>
        <v>26.25</v>
      </c>
      <c r="H60" s="39" t="n">
        <f aca="false">H58-G58</f>
        <v>-28.75</v>
      </c>
      <c r="I60" s="39" t="n">
        <f aca="false">I58-H58</f>
        <v>-1.25</v>
      </c>
      <c r="J60" s="39" t="n">
        <f aca="false">J58-I58</f>
        <v>-1.25</v>
      </c>
      <c r="K60" s="39" t="n">
        <f aca="false">K58-J58</f>
        <v>0</v>
      </c>
      <c r="L60" s="39" t="n">
        <f aca="false">L58-K58</f>
        <v>0</v>
      </c>
      <c r="O60" s="2" t="s">
        <v>206</v>
      </c>
      <c r="Q60" s="39" t="n">
        <f aca="false">Q58-Assumptions!$C$5</f>
        <v>25</v>
      </c>
      <c r="R60" s="39" t="n">
        <f aca="false">R58-Q58</f>
        <v>0</v>
      </c>
      <c r="S60" s="39" t="n">
        <f aca="false">S58-R58</f>
        <v>0</v>
      </c>
      <c r="T60" s="38" t="n">
        <f aca="false">T58-S58</f>
        <v>25</v>
      </c>
      <c r="U60" s="39" t="n">
        <f aca="false">U58-T58</f>
        <v>-25</v>
      </c>
      <c r="V60" s="39" t="n">
        <f aca="false">V58-U58</f>
        <v>0</v>
      </c>
      <c r="W60" s="39" t="n">
        <f aca="false">W58-V58</f>
        <v>0</v>
      </c>
      <c r="X60" s="39" t="n">
        <f aca="false">X58-W58</f>
        <v>0</v>
      </c>
      <c r="Y60" s="39" t="n">
        <f aca="false">Y58-X58</f>
        <v>0</v>
      </c>
    </row>
    <row r="61" customFormat="false" ht="15" hidden="false" customHeight="false" outlineLevel="0" collapsed="false">
      <c r="G61" s="34"/>
      <c r="T61" s="34"/>
    </row>
    <row r="64" customFormat="false" ht="15" hidden="false" customHeight="false" outlineLevel="0" collapsed="false">
      <c r="B64" s="3" t="s">
        <v>225</v>
      </c>
    </row>
    <row r="65" customFormat="false" ht="15" hidden="false" customHeight="false" outlineLevel="0" collapsed="false">
      <c r="B65" s="5" t="s">
        <v>180</v>
      </c>
      <c r="C65" s="7" t="s">
        <v>181</v>
      </c>
      <c r="D65" s="7" t="s">
        <v>91</v>
      </c>
      <c r="E65" s="7" t="s">
        <v>92</v>
      </c>
      <c r="F65" s="7" t="s">
        <v>93</v>
      </c>
      <c r="G65" s="7" t="s">
        <v>94</v>
      </c>
      <c r="H65" s="7" t="s">
        <v>95</v>
      </c>
      <c r="I65" s="7" t="s">
        <v>96</v>
      </c>
      <c r="J65" s="7" t="s">
        <v>97</v>
      </c>
      <c r="K65" s="7" t="s">
        <v>98</v>
      </c>
      <c r="L65" s="7" t="s">
        <v>99</v>
      </c>
      <c r="M65" s="7" t="s">
        <v>100</v>
      </c>
      <c r="O65" s="25" t="s">
        <v>182</v>
      </c>
      <c r="P65" s="26" t="s">
        <v>181</v>
      </c>
      <c r="Q65" s="26" t="s">
        <v>91</v>
      </c>
      <c r="R65" s="26" t="s">
        <v>92</v>
      </c>
      <c r="S65" s="26" t="s">
        <v>93</v>
      </c>
      <c r="T65" s="26" t="s">
        <v>94</v>
      </c>
      <c r="U65" s="26" t="s">
        <v>95</v>
      </c>
      <c r="V65" s="26" t="s">
        <v>96</v>
      </c>
      <c r="W65" s="26" t="s">
        <v>97</v>
      </c>
      <c r="X65" s="26" t="s">
        <v>98</v>
      </c>
      <c r="Y65" s="26" t="s">
        <v>99</v>
      </c>
      <c r="Z65" s="26" t="s">
        <v>100</v>
      </c>
    </row>
    <row r="66" customFormat="false" ht="15" hidden="false" customHeight="false" outlineLevel="0" collapsed="false">
      <c r="B66" s="2" t="s">
        <v>183</v>
      </c>
      <c r="D66" s="28" t="n">
        <f aca="false">Assumptions!$C$5*Assumptions!$C$6</f>
        <v>125</v>
      </c>
      <c r="E66" s="28" t="n">
        <f aca="false">Assumptions!$C$5*Assumptions!$C$6</f>
        <v>125</v>
      </c>
      <c r="F66" s="28" t="n">
        <f aca="false">Assumptions!$C$5*Assumptions!$C$6</f>
        <v>125</v>
      </c>
      <c r="G66" s="27" t="n">
        <f aca="false">Assumptions!$C$5*Assumptions!$C$7</f>
        <v>150</v>
      </c>
      <c r="H66" s="28" t="n">
        <f aca="false">Assumptions!$C$5*Assumptions!$C$6</f>
        <v>125</v>
      </c>
      <c r="I66" s="28" t="n">
        <f aca="false">Assumptions!$C$5*Assumptions!$C$6</f>
        <v>125</v>
      </c>
      <c r="J66" s="28" t="n">
        <f aca="false">Assumptions!$C$5*Assumptions!$C$6</f>
        <v>125</v>
      </c>
      <c r="K66" s="28" t="n">
        <f aca="false">Assumptions!$C$5*Assumptions!$C$6</f>
        <v>125</v>
      </c>
      <c r="L66" s="28" t="n">
        <f aca="false">Assumptions!$C$5*Assumptions!$C$6</f>
        <v>125</v>
      </c>
      <c r="O66" s="2" t="s">
        <v>183</v>
      </c>
      <c r="Q66" s="28" t="n">
        <f aca="false">Assumptions!$C$5*Assumptions!$C$6</f>
        <v>125</v>
      </c>
      <c r="R66" s="28" t="n">
        <f aca="false">Assumptions!$C$5*Assumptions!$C$6</f>
        <v>125</v>
      </c>
      <c r="S66" s="28" t="n">
        <f aca="false">Assumptions!$C$5*Assumptions!$C$6</f>
        <v>125</v>
      </c>
      <c r="T66" s="27" t="n">
        <f aca="false">Assumptions!$C$5*Assumptions!$C$7</f>
        <v>150</v>
      </c>
      <c r="U66" s="28" t="n">
        <f aca="false">Assumptions!$C$5*Assumptions!$C$6</f>
        <v>125</v>
      </c>
      <c r="V66" s="28" t="n">
        <f aca="false">Assumptions!$C$5*Assumptions!$C$6</f>
        <v>125</v>
      </c>
      <c r="W66" s="28" t="n">
        <f aca="false">Assumptions!$C$5*Assumptions!$C$6</f>
        <v>125</v>
      </c>
      <c r="X66" s="28" t="n">
        <f aca="false">Assumptions!$C$5*Assumptions!$C$6</f>
        <v>125</v>
      </c>
      <c r="Y66" s="28" t="n">
        <f aca="false">Assumptions!$C$5*Assumptions!$C$6</f>
        <v>125</v>
      </c>
    </row>
    <row r="67" customFormat="false" ht="15" hidden="false" customHeight="false" outlineLevel="0" collapsed="false">
      <c r="B67" s="4" t="s">
        <v>184</v>
      </c>
      <c r="D67" s="30" t="n">
        <v>100</v>
      </c>
      <c r="E67" s="30" t="n">
        <v>100</v>
      </c>
      <c r="F67" s="30" t="n">
        <v>100</v>
      </c>
      <c r="G67" s="29" t="n">
        <v>50</v>
      </c>
      <c r="H67" s="30" t="n">
        <v>0</v>
      </c>
      <c r="I67" s="30" t="n">
        <v>0</v>
      </c>
      <c r="J67" s="30" t="n">
        <v>0</v>
      </c>
      <c r="K67" s="30" t="n">
        <v>0</v>
      </c>
      <c r="L67" s="30" t="n">
        <v>0</v>
      </c>
      <c r="O67" s="4" t="s">
        <v>184</v>
      </c>
      <c r="Q67" s="30" t="n">
        <v>100</v>
      </c>
      <c r="R67" s="30" t="n">
        <v>100</v>
      </c>
      <c r="S67" s="30" t="n">
        <v>100</v>
      </c>
      <c r="T67" s="29" t="n">
        <v>50</v>
      </c>
      <c r="U67" s="30" t="n">
        <v>0</v>
      </c>
      <c r="V67" s="30" t="n">
        <v>0</v>
      </c>
      <c r="W67" s="30" t="n">
        <v>0</v>
      </c>
      <c r="X67" s="30" t="n">
        <v>0</v>
      </c>
      <c r="Y67" s="30" t="n">
        <v>0</v>
      </c>
    </row>
    <row r="68" customFormat="false" ht="15" hidden="false" customHeight="false" outlineLevel="0" collapsed="false">
      <c r="B68" s="4" t="s">
        <v>208</v>
      </c>
      <c r="C68" s="31" t="n">
        <f aca="false">MAX(Assumptions!$C$5*Assumptions!$C$12,D66-(D67))</f>
        <v>25</v>
      </c>
      <c r="D68" s="33" t="n">
        <f aca="false">$C68*Assumptions!$C$23</f>
        <v>25</v>
      </c>
      <c r="E68" s="33" t="n">
        <f aca="false">$C68*Assumptions!$D$23</f>
        <v>3.75</v>
      </c>
      <c r="F68" s="33" t="n">
        <f aca="false">$C68*Assumptions!$E$23</f>
        <v>1.25</v>
      </c>
      <c r="G68" s="32" t="n">
        <f aca="false">$C68*Assumptions!$F$23</f>
        <v>1.25</v>
      </c>
      <c r="M68" s="33" t="n">
        <f aca="false">$C68*Assumptions!$G$23</f>
        <v>31.25</v>
      </c>
      <c r="O68" s="4" t="s">
        <v>209</v>
      </c>
      <c r="P68" s="31" t="n">
        <f aca="false">MAX(Assumptions!$C$5*Assumptions!$C$12,Q66-(Q67))</f>
        <v>25</v>
      </c>
      <c r="Q68" s="33" t="n">
        <f aca="false">$P68*Assumptions!$C$21</f>
        <v>25</v>
      </c>
      <c r="R68" s="33" t="n">
        <f aca="false">$P68*Assumptions!$D$21</f>
        <v>0</v>
      </c>
      <c r="S68" s="33" t="n">
        <f aca="false">$P68*Assumptions!$E$21</f>
        <v>0</v>
      </c>
      <c r="T68" s="32" t="n">
        <f aca="false">$P68*Assumptions!$F$21</f>
        <v>0</v>
      </c>
      <c r="Z68" s="33" t="n">
        <f aca="false">$P68*Assumptions!$G$21</f>
        <v>25</v>
      </c>
    </row>
    <row r="69" customFormat="false" ht="15" hidden="false" customHeight="false" outlineLevel="0" collapsed="false">
      <c r="B69" s="4" t="s">
        <v>210</v>
      </c>
      <c r="C69" s="31" t="n">
        <f aca="false">MAX(Assumptions!$C$5*Assumptions!$C$12,E66-(E67))</f>
        <v>25</v>
      </c>
      <c r="E69" s="33" t="n">
        <f aca="false">$C69*Assumptions!$C$23</f>
        <v>25</v>
      </c>
      <c r="F69" s="33" t="n">
        <f aca="false">$C69*Assumptions!$D$23</f>
        <v>3.75</v>
      </c>
      <c r="G69" s="32" t="n">
        <f aca="false">$C69*Assumptions!$E$23</f>
        <v>1.25</v>
      </c>
      <c r="H69" s="33" t="n">
        <f aca="false">$C69*Assumptions!$F$23</f>
        <v>1.25</v>
      </c>
      <c r="M69" s="33" t="n">
        <f aca="false">$C69*Assumptions!$G$23</f>
        <v>31.25</v>
      </c>
      <c r="O69" s="4" t="s">
        <v>211</v>
      </c>
      <c r="P69" s="31" t="n">
        <f aca="false">MAX(Assumptions!$C$5*Assumptions!$C$12,R66-(R67))</f>
        <v>25</v>
      </c>
      <c r="R69" s="33" t="n">
        <f aca="false">$P69*Assumptions!$C$21</f>
        <v>25</v>
      </c>
      <c r="S69" s="33" t="n">
        <f aca="false">$P69*Assumptions!$D$21</f>
        <v>0</v>
      </c>
      <c r="T69" s="32" t="n">
        <f aca="false">$P69*Assumptions!$E$21</f>
        <v>0</v>
      </c>
      <c r="U69" s="33" t="n">
        <f aca="false">$P69*Assumptions!$F$21</f>
        <v>0</v>
      </c>
      <c r="Z69" s="33" t="n">
        <f aca="false">$P69*Assumptions!$G$21</f>
        <v>25</v>
      </c>
    </row>
    <row r="70" customFormat="false" ht="15" hidden="false" customHeight="false" outlineLevel="0" collapsed="false">
      <c r="B70" s="4" t="s">
        <v>212</v>
      </c>
      <c r="C70" s="31" t="n">
        <f aca="false">MAX(Assumptions!$C$5*Assumptions!$C$12,F66-(F67))</f>
        <v>25</v>
      </c>
      <c r="F70" s="33" t="n">
        <f aca="false">$C70*Assumptions!$C$23</f>
        <v>25</v>
      </c>
      <c r="G70" s="32" t="n">
        <f aca="false">$C70*Assumptions!$D$23</f>
        <v>3.75</v>
      </c>
      <c r="H70" s="33" t="n">
        <f aca="false">$C70*Assumptions!$E$23</f>
        <v>1.25</v>
      </c>
      <c r="I70" s="33" t="n">
        <f aca="false">$C70*Assumptions!$F$23</f>
        <v>1.25</v>
      </c>
      <c r="M70" s="33" t="n">
        <f aca="false">$C70*Assumptions!$G$23</f>
        <v>31.25</v>
      </c>
      <c r="O70" s="4" t="s">
        <v>213</v>
      </c>
      <c r="P70" s="31" t="n">
        <f aca="false">MAX(Assumptions!$C$5*Assumptions!$C$12,S66-(S67))</f>
        <v>25</v>
      </c>
      <c r="S70" s="33" t="n">
        <f aca="false">$P70*Assumptions!$C$21</f>
        <v>25</v>
      </c>
      <c r="T70" s="32" t="n">
        <f aca="false">$P70*Assumptions!$D$21</f>
        <v>0</v>
      </c>
      <c r="U70" s="33" t="n">
        <f aca="false">$P70*Assumptions!$E$21</f>
        <v>0</v>
      </c>
      <c r="V70" s="33" t="n">
        <f aca="false">$P70*Assumptions!$F$21</f>
        <v>0</v>
      </c>
      <c r="Z70" s="33" t="n">
        <f aca="false">$P70*Assumptions!$G$21</f>
        <v>25</v>
      </c>
    </row>
    <row r="71" customFormat="false" ht="15" hidden="false" customHeight="false" outlineLevel="0" collapsed="false">
      <c r="B71" s="4" t="s">
        <v>214</v>
      </c>
      <c r="C71" s="31" t="n">
        <f aca="false">MAX(Assumptions!$C$5*Assumptions!$C$12*Assumptions!$C$7,G66-(G67))</f>
        <v>100</v>
      </c>
      <c r="G71" s="32" t="n">
        <f aca="false">$C71*Assumptions!$C$21</f>
        <v>100</v>
      </c>
      <c r="H71" s="33" t="n">
        <f aca="false">$C71*Assumptions!$D$21</f>
        <v>0</v>
      </c>
      <c r="I71" s="33" t="n">
        <f aca="false">$C71*Assumptions!$E$21</f>
        <v>0</v>
      </c>
      <c r="J71" s="33" t="n">
        <f aca="false">$C71*Assumptions!$F$21</f>
        <v>0</v>
      </c>
      <c r="M71" s="33" t="n">
        <f aca="false">$C71*Assumptions!$G$21</f>
        <v>100</v>
      </c>
      <c r="O71" s="4" t="s">
        <v>223</v>
      </c>
      <c r="P71" s="31" t="n">
        <f aca="false">T66-(T67+$P72)</f>
        <v>37.5</v>
      </c>
      <c r="T71" s="32" t="n">
        <f aca="false">$P71*Assumptions!$C$21</f>
        <v>37.5</v>
      </c>
      <c r="U71" s="33" t="n">
        <f aca="false">$P71*Assumptions!$D$21</f>
        <v>0</v>
      </c>
      <c r="V71" s="33" t="n">
        <f aca="false">$P71*Assumptions!$E$21</f>
        <v>0</v>
      </c>
      <c r="W71" s="33" t="n">
        <f aca="false">$P71*Assumptions!$F$21</f>
        <v>0</v>
      </c>
      <c r="Z71" s="33" t="n">
        <f aca="false">$P71*Assumptions!$G$21</f>
        <v>37.5</v>
      </c>
    </row>
    <row r="72" customFormat="false" ht="15" hidden="false" customHeight="false" outlineLevel="0" collapsed="false">
      <c r="B72" s="4" t="s">
        <v>216</v>
      </c>
      <c r="C72" s="31" t="n">
        <f aca="false">Assumptions!$C$5</f>
        <v>100</v>
      </c>
      <c r="G72" s="32" t="n">
        <f aca="false">$C72*Assumptions!$C$22</f>
        <v>0</v>
      </c>
      <c r="H72" s="33" t="n">
        <f aca="false">$C72*Assumptions!$D$22</f>
        <v>25</v>
      </c>
      <c r="I72" s="33" t="n">
        <f aca="false">$C72*Assumptions!$E$22</f>
        <v>10</v>
      </c>
      <c r="J72" s="33" t="n">
        <f aca="false">$C72*Assumptions!$F$22</f>
        <v>5</v>
      </c>
      <c r="M72" s="33" t="n">
        <f aca="false">$C72*Assumptions!$G$22</f>
        <v>40</v>
      </c>
      <c r="O72" s="4" t="s">
        <v>224</v>
      </c>
      <c r="P72" s="31" t="n">
        <f aca="false">Assumptions!$C$11*Assumptions!$C$5*Assumptions!$C$6</f>
        <v>62.5</v>
      </c>
      <c r="T72" s="32" t="n">
        <f aca="false">$P72*Assumptions!$C$18</f>
        <v>62.5</v>
      </c>
      <c r="U72" s="33" t="n">
        <f aca="false">$P72*Assumptions!$D$18</f>
        <v>62.5</v>
      </c>
      <c r="V72" s="33" t="n">
        <f aca="false">$P72*Assumptions!$E$18</f>
        <v>0</v>
      </c>
      <c r="W72" s="33" t="n">
        <f aca="false">$P72*Assumptions!$F$18</f>
        <v>0</v>
      </c>
      <c r="Z72" s="33" t="n">
        <f aca="false">$P72*Assumptions!$G$18</f>
        <v>125</v>
      </c>
    </row>
    <row r="73" customFormat="false" ht="15" hidden="false" customHeight="false" outlineLevel="0" collapsed="false">
      <c r="B73" s="4" t="s">
        <v>193</v>
      </c>
      <c r="C73" s="31" t="n">
        <f aca="false">Assumptions!$C$5</f>
        <v>100</v>
      </c>
      <c r="G73" s="34"/>
      <c r="H73" s="33" t="n">
        <f aca="false">$C73*Assumptions!$C$17</f>
        <v>100</v>
      </c>
      <c r="I73" s="33" t="n">
        <f aca="false">$C73*Assumptions!$D$17</f>
        <v>15</v>
      </c>
      <c r="J73" s="33" t="n">
        <f aca="false">$C73*Assumptions!$E$17</f>
        <v>5</v>
      </c>
      <c r="K73" s="33" t="n">
        <f aca="false">$C73*Assumptions!$F$17</f>
        <v>5</v>
      </c>
      <c r="M73" s="33" t="n">
        <f aca="false">$C73*Assumptions!$G$17</f>
        <v>125</v>
      </c>
      <c r="O73" s="4" t="s">
        <v>217</v>
      </c>
      <c r="P73" s="31" t="n">
        <f aca="false">Assumptions!$C$11*Assumptions!$C$5*Assumptions!$C$6</f>
        <v>62.5</v>
      </c>
      <c r="T73" s="34"/>
      <c r="U73" s="33" t="n">
        <f aca="false">$P73*Assumptions!$C$18</f>
        <v>62.5</v>
      </c>
      <c r="V73" s="33" t="n">
        <f aca="false">$P73*Assumptions!$D$18</f>
        <v>62.5</v>
      </c>
      <c r="W73" s="33" t="n">
        <f aca="false">$P73*Assumptions!$E$18</f>
        <v>0</v>
      </c>
      <c r="X73" s="33" t="n">
        <f aca="false">$P73*Assumptions!$F$18</f>
        <v>0</v>
      </c>
      <c r="Z73" s="33" t="n">
        <f aca="false">$P73*Assumptions!$G$18</f>
        <v>125</v>
      </c>
    </row>
    <row r="74" customFormat="false" ht="15" hidden="false" customHeight="false" outlineLevel="0" collapsed="false">
      <c r="B74" s="4" t="s">
        <v>195</v>
      </c>
      <c r="C74" s="31" t="n">
        <f aca="false">Assumptions!$C$5</f>
        <v>100</v>
      </c>
      <c r="G74" s="34"/>
      <c r="I74" s="33" t="n">
        <f aca="false">$C74*Assumptions!$C$17</f>
        <v>100</v>
      </c>
      <c r="J74" s="33" t="n">
        <f aca="false">$C74*Assumptions!$D$17</f>
        <v>15</v>
      </c>
      <c r="K74" s="33" t="n">
        <f aca="false">$C74*Assumptions!$E$17</f>
        <v>5</v>
      </c>
      <c r="L74" s="33" t="n">
        <f aca="false">$C74*Assumptions!$F$17</f>
        <v>5</v>
      </c>
      <c r="M74" s="33" t="n">
        <f aca="false">$C74*Assumptions!$G$17</f>
        <v>125</v>
      </c>
      <c r="O74" s="4" t="s">
        <v>218</v>
      </c>
      <c r="P74" s="31" t="n">
        <f aca="false">Assumptions!$C$11*Assumptions!$C$5*Assumptions!$C$6</f>
        <v>62.5</v>
      </c>
      <c r="T74" s="34"/>
      <c r="V74" s="33" t="n">
        <f aca="false">$P74*Assumptions!$C$18</f>
        <v>62.5</v>
      </c>
      <c r="W74" s="33" t="n">
        <f aca="false">$P74*Assumptions!$D$18</f>
        <v>62.5</v>
      </c>
      <c r="X74" s="33" t="n">
        <f aca="false">$P74*Assumptions!$E$18</f>
        <v>0</v>
      </c>
      <c r="Y74" s="33" t="n">
        <f aca="false">$P74*Assumptions!$F$18</f>
        <v>0</v>
      </c>
      <c r="Z74" s="33" t="n">
        <f aca="false">$P74*Assumptions!$G$18</f>
        <v>125</v>
      </c>
    </row>
    <row r="75" customFormat="false" ht="15" hidden="false" customHeight="false" outlineLevel="0" collapsed="false">
      <c r="B75" s="4" t="s">
        <v>197</v>
      </c>
      <c r="C75" s="31" t="n">
        <f aca="false">Assumptions!$C$5</f>
        <v>100</v>
      </c>
      <c r="G75" s="34"/>
      <c r="J75" s="33" t="n">
        <f aca="false">$C75*Assumptions!$C$17</f>
        <v>100</v>
      </c>
      <c r="K75" s="33" t="n">
        <f aca="false">$C75*Assumptions!$D$17</f>
        <v>15</v>
      </c>
      <c r="L75" s="33" t="n">
        <f aca="false">$C75*Assumptions!$E$17</f>
        <v>5</v>
      </c>
      <c r="M75" s="33" t="n">
        <f aca="false">$C75*Assumptions!$G$17</f>
        <v>125</v>
      </c>
      <c r="O75" s="4" t="s">
        <v>219</v>
      </c>
      <c r="P75" s="31" t="n">
        <f aca="false">Assumptions!$C$11*Assumptions!$C$5*Assumptions!$C$6</f>
        <v>62.5</v>
      </c>
      <c r="T75" s="34"/>
      <c r="W75" s="33" t="n">
        <f aca="false">$P75*Assumptions!$C$18</f>
        <v>62.5</v>
      </c>
      <c r="X75" s="33" t="n">
        <f aca="false">$P75*Assumptions!$D$18</f>
        <v>62.5</v>
      </c>
      <c r="Y75" s="33" t="n">
        <f aca="false">$P75*Assumptions!$E$18</f>
        <v>0</v>
      </c>
      <c r="Z75" s="33" t="n">
        <f aca="false">$P75*Assumptions!$G$18</f>
        <v>125</v>
      </c>
    </row>
    <row r="76" customFormat="false" ht="15" hidden="false" customHeight="false" outlineLevel="0" collapsed="false">
      <c r="B76" s="4" t="s">
        <v>199</v>
      </c>
      <c r="C76" s="31" t="n">
        <f aca="false">Assumptions!$C$5</f>
        <v>100</v>
      </c>
      <c r="G76" s="34"/>
      <c r="K76" s="33" t="n">
        <f aca="false">$C76*Assumptions!$C$17</f>
        <v>100</v>
      </c>
      <c r="L76" s="33" t="n">
        <f aca="false">$C76*Assumptions!$D$17</f>
        <v>15</v>
      </c>
      <c r="M76" s="33" t="n">
        <f aca="false">$C76*Assumptions!$G$17</f>
        <v>125</v>
      </c>
      <c r="O76" s="4" t="s">
        <v>220</v>
      </c>
      <c r="P76" s="31" t="n">
        <f aca="false">Assumptions!$C$11*Assumptions!$C$5*Assumptions!$C$6</f>
        <v>62.5</v>
      </c>
      <c r="T76" s="34"/>
      <c r="X76" s="33" t="n">
        <f aca="false">$P76*Assumptions!$C$18</f>
        <v>62.5</v>
      </c>
      <c r="Y76" s="33" t="n">
        <f aca="false">$P76*Assumptions!$D$18</f>
        <v>62.5</v>
      </c>
      <c r="Z76" s="33" t="n">
        <f aca="false">$P76*Assumptions!$G$18</f>
        <v>125</v>
      </c>
    </row>
    <row r="77" customFormat="false" ht="15" hidden="false" customHeight="false" outlineLevel="0" collapsed="false">
      <c r="B77" s="4" t="s">
        <v>201</v>
      </c>
      <c r="C77" s="31" t="n">
        <f aca="false">Assumptions!$C$5</f>
        <v>100</v>
      </c>
      <c r="G77" s="34"/>
      <c r="L77" s="33" t="n">
        <f aca="false">$C77*Assumptions!$C$17</f>
        <v>100</v>
      </c>
      <c r="M77" s="33" t="n">
        <f aca="false">$C77*Assumptions!$G$17</f>
        <v>125</v>
      </c>
      <c r="O77" s="4" t="s">
        <v>221</v>
      </c>
      <c r="P77" s="31" t="n">
        <f aca="false">Assumptions!$C$11*Assumptions!$C$5*Assumptions!$C$6</f>
        <v>62.5</v>
      </c>
      <c r="T77" s="34"/>
      <c r="Y77" s="33" t="n">
        <f aca="false">$P77*Assumptions!$C$18</f>
        <v>62.5</v>
      </c>
      <c r="Z77" s="33" t="n">
        <f aca="false">$P77*Assumptions!$G$18</f>
        <v>125</v>
      </c>
    </row>
    <row r="78" customFormat="false" ht="15" hidden="false" customHeight="false" outlineLevel="0" collapsed="false">
      <c r="B78" s="8" t="s">
        <v>203</v>
      </c>
      <c r="C78" s="8" t="s">
        <v>204</v>
      </c>
      <c r="D78" s="13" t="n">
        <f aca="false">D67+SUM(D68:D77)</f>
        <v>125</v>
      </c>
      <c r="E78" s="13" t="n">
        <f aca="false">E67+SUM(E68:E77)</f>
        <v>128.75</v>
      </c>
      <c r="F78" s="13" t="n">
        <f aca="false">F67+SUM(F68:F77)</f>
        <v>130</v>
      </c>
      <c r="G78" s="35" t="n">
        <f aca="false">G67+SUM(G68:G77)</f>
        <v>156.25</v>
      </c>
      <c r="H78" s="13" t="n">
        <f aca="false">H67+SUM(H68:H77)</f>
        <v>127.5</v>
      </c>
      <c r="I78" s="13" t="n">
        <f aca="false">I67+SUM(I68:I77)</f>
        <v>126.25</v>
      </c>
      <c r="J78" s="13" t="n">
        <f aca="false">J67+SUM(J68:J77)</f>
        <v>125</v>
      </c>
      <c r="K78" s="13" t="n">
        <f aca="false">K67+SUM(K68:K77)</f>
        <v>125</v>
      </c>
      <c r="L78" s="13" t="n">
        <f aca="false">L67+SUM(L68:L77)</f>
        <v>125</v>
      </c>
      <c r="M78" s="13" t="n">
        <f aca="false">SUM(M68:M77)</f>
        <v>858.75</v>
      </c>
      <c r="O78" s="8" t="s">
        <v>203</v>
      </c>
      <c r="P78" s="8" t="s">
        <v>204</v>
      </c>
      <c r="Q78" s="13" t="n">
        <f aca="false">Q67+SUM(Q68:Q77)</f>
        <v>125</v>
      </c>
      <c r="R78" s="13" t="n">
        <f aca="false">R67+SUM(R68:R77)</f>
        <v>125</v>
      </c>
      <c r="S78" s="13" t="n">
        <f aca="false">S67+SUM(S68:S77)</f>
        <v>125</v>
      </c>
      <c r="T78" s="35" t="n">
        <f aca="false">T67+SUM(T68:T77)</f>
        <v>150</v>
      </c>
      <c r="U78" s="13" t="n">
        <f aca="false">U67+SUM(U68:U77)</f>
        <v>125</v>
      </c>
      <c r="V78" s="13" t="n">
        <f aca="false">V67+SUM(V68:V77)</f>
        <v>125</v>
      </c>
      <c r="W78" s="13" t="n">
        <f aca="false">W67+SUM(W68:W77)</f>
        <v>125</v>
      </c>
      <c r="X78" s="13" t="n">
        <f aca="false">X67+SUM(X68:X77)</f>
        <v>125</v>
      </c>
      <c r="Y78" s="13" t="n">
        <f aca="false">Y67+SUM(Y68:Y77)</f>
        <v>125</v>
      </c>
      <c r="Z78" s="13" t="n">
        <f aca="false">SUM(Z68:Z77)</f>
        <v>862.5</v>
      </c>
    </row>
    <row r="79" customFormat="false" ht="15" hidden="false" customHeight="false" outlineLevel="0" collapsed="false">
      <c r="B79" s="2" t="s">
        <v>205</v>
      </c>
      <c r="D79" s="37" t="n">
        <f aca="false">D78/D66</f>
        <v>1</v>
      </c>
      <c r="E79" s="37" t="n">
        <f aca="false">E78/E66</f>
        <v>1.03</v>
      </c>
      <c r="F79" s="37" t="n">
        <f aca="false">F78/F66</f>
        <v>1.04</v>
      </c>
      <c r="G79" s="36" t="n">
        <f aca="false">G78/G66</f>
        <v>1.04166666666667</v>
      </c>
      <c r="H79" s="37" t="n">
        <f aca="false">H78/H66</f>
        <v>1.02</v>
      </c>
      <c r="I79" s="37" t="n">
        <f aca="false">I78/I66</f>
        <v>1.01</v>
      </c>
      <c r="J79" s="37" t="n">
        <f aca="false">J78/J66</f>
        <v>1</v>
      </c>
      <c r="K79" s="37" t="n">
        <f aca="false">K78/K66</f>
        <v>1</v>
      </c>
      <c r="L79" s="37" t="n">
        <f aca="false">L78/L66</f>
        <v>1</v>
      </c>
      <c r="O79" s="2" t="s">
        <v>205</v>
      </c>
      <c r="Q79" s="37" t="n">
        <f aca="false">Q78/Q66</f>
        <v>1</v>
      </c>
      <c r="R79" s="37" t="n">
        <f aca="false">R78/R66</f>
        <v>1</v>
      </c>
      <c r="S79" s="37" t="n">
        <f aca="false">S78/S66</f>
        <v>1</v>
      </c>
      <c r="T79" s="36" t="n">
        <f aca="false">T78/T66</f>
        <v>1</v>
      </c>
      <c r="U79" s="37" t="n">
        <f aca="false">U78/U66</f>
        <v>1</v>
      </c>
      <c r="V79" s="37" t="n">
        <f aca="false">V78/V66</f>
        <v>1</v>
      </c>
      <c r="W79" s="37" t="n">
        <f aca="false">W78/W66</f>
        <v>1</v>
      </c>
      <c r="X79" s="37" t="n">
        <f aca="false">X78/X66</f>
        <v>1</v>
      </c>
      <c r="Y79" s="37" t="n">
        <f aca="false">Y78/Y66</f>
        <v>1</v>
      </c>
    </row>
    <row r="80" customFormat="false" ht="15" hidden="false" customHeight="false" outlineLevel="0" collapsed="false">
      <c r="B80" s="2" t="s">
        <v>206</v>
      </c>
      <c r="D80" s="39" t="n">
        <f aca="false">D78-Assumptions!$C$5</f>
        <v>25</v>
      </c>
      <c r="E80" s="39" t="n">
        <f aca="false">E78-D78</f>
        <v>3.75</v>
      </c>
      <c r="F80" s="39" t="n">
        <f aca="false">F78-E78</f>
        <v>1.25</v>
      </c>
      <c r="G80" s="38" t="n">
        <f aca="false">G78-F78</f>
        <v>26.25</v>
      </c>
      <c r="H80" s="39" t="n">
        <f aca="false">H78-G78</f>
        <v>-28.75</v>
      </c>
      <c r="I80" s="39" t="n">
        <f aca="false">I78-H78</f>
        <v>-1.25</v>
      </c>
      <c r="J80" s="39" t="n">
        <f aca="false">J78-I78</f>
        <v>-1.25</v>
      </c>
      <c r="K80" s="39" t="n">
        <f aca="false">K78-J78</f>
        <v>0</v>
      </c>
      <c r="L80" s="39" t="n">
        <f aca="false">L78-K78</f>
        <v>0</v>
      </c>
      <c r="O80" s="2" t="s">
        <v>206</v>
      </c>
      <c r="Q80" s="39" t="n">
        <f aca="false">Q78-Assumptions!$C$5</f>
        <v>25</v>
      </c>
      <c r="R80" s="39" t="n">
        <f aca="false">R78-Q78</f>
        <v>0</v>
      </c>
      <c r="S80" s="39" t="n">
        <f aca="false">S78-R78</f>
        <v>0</v>
      </c>
      <c r="T80" s="38" t="n">
        <f aca="false">T78-S78</f>
        <v>25</v>
      </c>
      <c r="U80" s="39" t="n">
        <f aca="false">U78-T78</f>
        <v>-25</v>
      </c>
      <c r="V80" s="39" t="n">
        <f aca="false">V78-U78</f>
        <v>0</v>
      </c>
      <c r="W80" s="39" t="n">
        <f aca="false">W78-V78</f>
        <v>0</v>
      </c>
      <c r="X80" s="39" t="n">
        <f aca="false">X78-W78</f>
        <v>0</v>
      </c>
      <c r="Y80" s="39" t="n">
        <f aca="false">Y78-X78</f>
        <v>0</v>
      </c>
    </row>
    <row r="81" customFormat="false" ht="15" hidden="false" customHeight="false" outlineLevel="0" collapsed="false">
      <c r="G81" s="34"/>
      <c r="T81" s="34"/>
    </row>
    <row r="84" customFormat="false" ht="15" hidden="false" customHeight="false" outlineLevel="0" collapsed="false">
      <c r="B84" s="3" t="s">
        <v>227</v>
      </c>
    </row>
    <row r="85" customFormat="false" ht="15" hidden="false" customHeight="false" outlineLevel="0" collapsed="false">
      <c r="B85" s="5" t="s">
        <v>180</v>
      </c>
      <c r="C85" s="7" t="s">
        <v>181</v>
      </c>
      <c r="D85" s="7" t="s">
        <v>91</v>
      </c>
      <c r="E85" s="7" t="s">
        <v>92</v>
      </c>
      <c r="F85" s="7" t="s">
        <v>93</v>
      </c>
      <c r="G85" s="7" t="s">
        <v>94</v>
      </c>
      <c r="H85" s="7" t="s">
        <v>95</v>
      </c>
      <c r="I85" s="7" t="s">
        <v>96</v>
      </c>
      <c r="J85" s="7" t="s">
        <v>97</v>
      </c>
      <c r="K85" s="7" t="s">
        <v>98</v>
      </c>
      <c r="L85" s="7" t="s">
        <v>99</v>
      </c>
      <c r="M85" s="7" t="s">
        <v>100</v>
      </c>
      <c r="O85" s="25" t="s">
        <v>182</v>
      </c>
      <c r="P85" s="26" t="s">
        <v>181</v>
      </c>
      <c r="Q85" s="26" t="s">
        <v>91</v>
      </c>
      <c r="R85" s="26" t="s">
        <v>92</v>
      </c>
      <c r="S85" s="26" t="s">
        <v>93</v>
      </c>
      <c r="T85" s="26" t="s">
        <v>94</v>
      </c>
      <c r="U85" s="26" t="s">
        <v>95</v>
      </c>
      <c r="V85" s="26" t="s">
        <v>96</v>
      </c>
      <c r="W85" s="26" t="s">
        <v>97</v>
      </c>
      <c r="X85" s="26" t="s">
        <v>98</v>
      </c>
      <c r="Y85" s="26" t="s">
        <v>99</v>
      </c>
      <c r="Z85" s="26" t="s">
        <v>100</v>
      </c>
    </row>
    <row r="86" customFormat="false" ht="15" hidden="false" customHeight="false" outlineLevel="0" collapsed="false">
      <c r="B86" s="2" t="s">
        <v>183</v>
      </c>
      <c r="D86" s="28" t="n">
        <f aca="false">Assumptions!$C$5*Assumptions!$C$6</f>
        <v>125</v>
      </c>
      <c r="E86" s="28" t="n">
        <f aca="false">Assumptions!$C$5*Assumptions!$C$6</f>
        <v>125</v>
      </c>
      <c r="F86" s="28" t="n">
        <f aca="false">Assumptions!$C$5*Assumptions!$C$6</f>
        <v>125</v>
      </c>
      <c r="G86" s="27" t="n">
        <f aca="false">Assumptions!$C$5*Assumptions!$C$7</f>
        <v>150</v>
      </c>
      <c r="H86" s="28" t="n">
        <f aca="false">Assumptions!$C$5*Assumptions!$C$6</f>
        <v>125</v>
      </c>
      <c r="I86" s="28" t="n">
        <f aca="false">Assumptions!$C$5*Assumptions!$C$6</f>
        <v>125</v>
      </c>
      <c r="J86" s="28" t="n">
        <f aca="false">Assumptions!$C$5*Assumptions!$C$6</f>
        <v>125</v>
      </c>
      <c r="K86" s="28" t="n">
        <f aca="false">Assumptions!$C$5*Assumptions!$C$6</f>
        <v>125</v>
      </c>
      <c r="L86" s="28" t="n">
        <f aca="false">Assumptions!$C$5*Assumptions!$C$6</f>
        <v>125</v>
      </c>
      <c r="O86" s="2" t="s">
        <v>183</v>
      </c>
      <c r="Q86" s="28" t="n">
        <f aca="false">Assumptions!$C$5*Assumptions!$C$6</f>
        <v>125</v>
      </c>
      <c r="R86" s="28" t="n">
        <f aca="false">Assumptions!$C$5*Assumptions!$C$6</f>
        <v>125</v>
      </c>
      <c r="S86" s="28" t="n">
        <f aca="false">Assumptions!$C$5*Assumptions!$C$6</f>
        <v>125</v>
      </c>
      <c r="T86" s="27" t="n">
        <f aca="false">Assumptions!$C$5*Assumptions!$C$7</f>
        <v>150</v>
      </c>
      <c r="U86" s="28" t="n">
        <f aca="false">Assumptions!$C$5*Assumptions!$C$6</f>
        <v>125</v>
      </c>
      <c r="V86" s="28" t="n">
        <f aca="false">Assumptions!$C$5*Assumptions!$C$6</f>
        <v>125</v>
      </c>
      <c r="W86" s="28" t="n">
        <f aca="false">Assumptions!$C$5*Assumptions!$C$6</f>
        <v>125</v>
      </c>
      <c r="X86" s="28" t="n">
        <f aca="false">Assumptions!$C$5*Assumptions!$C$6</f>
        <v>125</v>
      </c>
      <c r="Y86" s="28" t="n">
        <f aca="false">Assumptions!$C$5*Assumptions!$C$6</f>
        <v>125</v>
      </c>
    </row>
    <row r="87" customFormat="false" ht="15" hidden="false" customHeight="false" outlineLevel="0" collapsed="false">
      <c r="B87" s="4" t="s">
        <v>184</v>
      </c>
      <c r="D87" s="30" t="n">
        <v>100</v>
      </c>
      <c r="E87" s="30" t="n">
        <v>100</v>
      </c>
      <c r="F87" s="30" t="n">
        <v>100</v>
      </c>
      <c r="G87" s="29" t="n">
        <v>75</v>
      </c>
      <c r="H87" s="30" t="n">
        <v>0</v>
      </c>
      <c r="I87" s="30" t="n">
        <v>0</v>
      </c>
      <c r="J87" s="30" t="n">
        <v>0</v>
      </c>
      <c r="K87" s="30" t="n">
        <v>0</v>
      </c>
      <c r="L87" s="30" t="n">
        <v>0</v>
      </c>
      <c r="O87" s="4" t="s">
        <v>184</v>
      </c>
      <c r="Q87" s="30" t="n">
        <v>100</v>
      </c>
      <c r="R87" s="30" t="n">
        <v>100</v>
      </c>
      <c r="S87" s="30" t="n">
        <v>100</v>
      </c>
      <c r="T87" s="29" t="n">
        <v>75</v>
      </c>
      <c r="U87" s="30" t="n">
        <v>0</v>
      </c>
      <c r="V87" s="30" t="n">
        <v>0</v>
      </c>
      <c r="W87" s="30" t="n">
        <v>0</v>
      </c>
      <c r="X87" s="30" t="n">
        <v>0</v>
      </c>
      <c r="Y87" s="30" t="n">
        <v>0</v>
      </c>
    </row>
    <row r="88" customFormat="false" ht="15" hidden="false" customHeight="false" outlineLevel="0" collapsed="false">
      <c r="B88" s="4" t="s">
        <v>208</v>
      </c>
      <c r="C88" s="31" t="n">
        <f aca="false">MAX(Assumptions!$C$5*Assumptions!$C$12,D86-(D87))</f>
        <v>25</v>
      </c>
      <c r="D88" s="33" t="n">
        <f aca="false">$C88*Assumptions!$C$23</f>
        <v>25</v>
      </c>
      <c r="E88" s="33" t="n">
        <f aca="false">$C88*Assumptions!$D$23</f>
        <v>3.75</v>
      </c>
      <c r="F88" s="33" t="n">
        <f aca="false">$C88*Assumptions!$E$23</f>
        <v>1.25</v>
      </c>
      <c r="G88" s="32" t="n">
        <f aca="false">$C88*Assumptions!$F$23</f>
        <v>1.25</v>
      </c>
      <c r="M88" s="33" t="n">
        <f aca="false">$C88*Assumptions!$G$23</f>
        <v>31.25</v>
      </c>
      <c r="O88" s="4" t="s">
        <v>209</v>
      </c>
      <c r="P88" s="31" t="n">
        <f aca="false">MAX(Assumptions!$C$5*Assumptions!$C$12,Q86-(Q87))</f>
        <v>25</v>
      </c>
      <c r="Q88" s="33" t="n">
        <f aca="false">$P88*Assumptions!$C$21</f>
        <v>25</v>
      </c>
      <c r="R88" s="33" t="n">
        <f aca="false">$P88*Assumptions!$D$21</f>
        <v>0</v>
      </c>
      <c r="S88" s="33" t="n">
        <f aca="false">$P88*Assumptions!$E$21</f>
        <v>0</v>
      </c>
      <c r="T88" s="32" t="n">
        <f aca="false">$P88*Assumptions!$F$21</f>
        <v>0</v>
      </c>
      <c r="Z88" s="33" t="n">
        <f aca="false">$P88*Assumptions!$G$21</f>
        <v>25</v>
      </c>
    </row>
    <row r="89" customFormat="false" ht="15" hidden="false" customHeight="false" outlineLevel="0" collapsed="false">
      <c r="B89" s="4" t="s">
        <v>210</v>
      </c>
      <c r="C89" s="31" t="n">
        <f aca="false">MAX(Assumptions!$C$5*Assumptions!$C$12,E86-(E87))</f>
        <v>25</v>
      </c>
      <c r="E89" s="33" t="n">
        <f aca="false">$C89*Assumptions!$C$23</f>
        <v>25</v>
      </c>
      <c r="F89" s="33" t="n">
        <f aca="false">$C89*Assumptions!$D$23</f>
        <v>3.75</v>
      </c>
      <c r="G89" s="32" t="n">
        <f aca="false">$C89*Assumptions!$E$23</f>
        <v>1.25</v>
      </c>
      <c r="H89" s="33" t="n">
        <f aca="false">$C89*Assumptions!$F$23</f>
        <v>1.25</v>
      </c>
      <c r="M89" s="33" t="n">
        <f aca="false">$C89*Assumptions!$G$23</f>
        <v>31.25</v>
      </c>
      <c r="O89" s="4" t="s">
        <v>211</v>
      </c>
      <c r="P89" s="31" t="n">
        <f aca="false">MAX(Assumptions!$C$5*Assumptions!$C$12,R86-(R87))</f>
        <v>25</v>
      </c>
      <c r="R89" s="33" t="n">
        <f aca="false">$P89*Assumptions!$C$21</f>
        <v>25</v>
      </c>
      <c r="S89" s="33" t="n">
        <f aca="false">$P89*Assumptions!$D$21</f>
        <v>0</v>
      </c>
      <c r="T89" s="32" t="n">
        <f aca="false">$P89*Assumptions!$E$21</f>
        <v>0</v>
      </c>
      <c r="U89" s="33" t="n">
        <f aca="false">$P89*Assumptions!$F$21</f>
        <v>0</v>
      </c>
      <c r="Z89" s="33" t="n">
        <f aca="false">$P89*Assumptions!$G$21</f>
        <v>25</v>
      </c>
    </row>
    <row r="90" customFormat="false" ht="15" hidden="false" customHeight="false" outlineLevel="0" collapsed="false">
      <c r="B90" s="4" t="s">
        <v>212</v>
      </c>
      <c r="C90" s="31" t="n">
        <f aca="false">MAX(Assumptions!$C$5*Assumptions!$C$12,F86-(F87))</f>
        <v>25</v>
      </c>
      <c r="F90" s="33" t="n">
        <f aca="false">$C90*Assumptions!$C$23</f>
        <v>25</v>
      </c>
      <c r="G90" s="32" t="n">
        <f aca="false">$C90*Assumptions!$D$23</f>
        <v>3.75</v>
      </c>
      <c r="H90" s="33" t="n">
        <f aca="false">$C90*Assumptions!$E$23</f>
        <v>1.25</v>
      </c>
      <c r="I90" s="33" t="n">
        <f aca="false">$C90*Assumptions!$F$23</f>
        <v>1.25</v>
      </c>
      <c r="M90" s="33" t="n">
        <f aca="false">$C90*Assumptions!$G$23</f>
        <v>31.25</v>
      </c>
      <c r="O90" s="4" t="s">
        <v>213</v>
      </c>
      <c r="P90" s="31" t="n">
        <f aca="false">MAX(Assumptions!$C$5*Assumptions!$C$12,S86-(S87))</f>
        <v>25</v>
      </c>
      <c r="S90" s="33" t="n">
        <f aca="false">$P90*Assumptions!$C$21</f>
        <v>25</v>
      </c>
      <c r="T90" s="32" t="n">
        <f aca="false">$P90*Assumptions!$D$21</f>
        <v>0</v>
      </c>
      <c r="U90" s="33" t="n">
        <f aca="false">$P90*Assumptions!$E$21</f>
        <v>0</v>
      </c>
      <c r="V90" s="33" t="n">
        <f aca="false">$P90*Assumptions!$F$21</f>
        <v>0</v>
      </c>
      <c r="Z90" s="33" t="n">
        <f aca="false">$P90*Assumptions!$G$21</f>
        <v>25</v>
      </c>
    </row>
    <row r="91" customFormat="false" ht="15" hidden="false" customHeight="false" outlineLevel="0" collapsed="false">
      <c r="B91" s="4" t="s">
        <v>214</v>
      </c>
      <c r="C91" s="31" t="n">
        <f aca="false">MAX(Assumptions!$C$5*Assumptions!$C$12*Assumptions!$C$7,G86-(G87))</f>
        <v>75</v>
      </c>
      <c r="G91" s="32" t="n">
        <f aca="false">$C91*Assumptions!$C$21</f>
        <v>75</v>
      </c>
      <c r="H91" s="33" t="n">
        <f aca="false">$C91*Assumptions!$D$21</f>
        <v>0</v>
      </c>
      <c r="I91" s="33" t="n">
        <f aca="false">$C91*Assumptions!$E$21</f>
        <v>0</v>
      </c>
      <c r="J91" s="33" t="n">
        <f aca="false">$C91*Assumptions!$F$21</f>
        <v>0</v>
      </c>
      <c r="M91" s="33" t="n">
        <f aca="false">$C91*Assumptions!$G$21</f>
        <v>75</v>
      </c>
      <c r="O91" s="4" t="s">
        <v>223</v>
      </c>
      <c r="P91" s="31" t="n">
        <f aca="false">MAX(Assumptions!$C$5*Assumptions!$C$12*Assumptions!$C$7,T86-(T87))</f>
        <v>75</v>
      </c>
      <c r="T91" s="32" t="n">
        <f aca="false">$P91*Assumptions!$C$21</f>
        <v>75</v>
      </c>
      <c r="U91" s="33" t="n">
        <f aca="false">$P91*Assumptions!$D$21</f>
        <v>0</v>
      </c>
      <c r="V91" s="33" t="n">
        <f aca="false">$P91*Assumptions!$E$21</f>
        <v>0</v>
      </c>
      <c r="W91" s="33" t="n">
        <f aca="false">$P91*Assumptions!$F$21</f>
        <v>0</v>
      </c>
      <c r="Z91" s="33" t="n">
        <f aca="false">$P91*Assumptions!$G$21</f>
        <v>75</v>
      </c>
    </row>
    <row r="92" customFormat="false" ht="15" hidden="false" customHeight="false" outlineLevel="0" collapsed="false">
      <c r="B92" s="4" t="s">
        <v>216</v>
      </c>
      <c r="C92" s="31" t="n">
        <f aca="false">Assumptions!$C$5</f>
        <v>100</v>
      </c>
      <c r="G92" s="32" t="n">
        <f aca="false">$C92*Assumptions!$C$22</f>
        <v>0</v>
      </c>
      <c r="H92" s="33" t="n">
        <f aca="false">$C92*Assumptions!$D$22</f>
        <v>25</v>
      </c>
      <c r="I92" s="33" t="n">
        <f aca="false">$C92*Assumptions!$E$22</f>
        <v>10</v>
      </c>
      <c r="J92" s="33" t="n">
        <f aca="false">$C92*Assumptions!$F$22</f>
        <v>5</v>
      </c>
      <c r="M92" s="33" t="n">
        <f aca="false">$C92*Assumptions!$G$22</f>
        <v>40</v>
      </c>
      <c r="O92" s="4" t="s">
        <v>277</v>
      </c>
      <c r="P92" s="31" t="n">
        <f aca="false">Assumptions!$C$5*Assumptions!$C$7</f>
        <v>150</v>
      </c>
      <c r="T92" s="32" t="n">
        <f aca="false">$P92*Assumptions!$C$20</f>
        <v>0</v>
      </c>
      <c r="U92" s="33" t="n">
        <f aca="false">$P92*Assumptions!$D$20</f>
        <v>150</v>
      </c>
      <c r="V92" s="33" t="n">
        <f aca="false">$P92*Assumptions!$E$20</f>
        <v>75</v>
      </c>
      <c r="W92" s="33" t="n">
        <f aca="false">$P92*Assumptions!$F$20</f>
        <v>0</v>
      </c>
      <c r="Z92" s="33" t="n">
        <f aca="false">$P92*Assumptions!$G$20</f>
        <v>225</v>
      </c>
    </row>
    <row r="93" customFormat="false" ht="15" hidden="false" customHeight="false" outlineLevel="0" collapsed="false">
      <c r="B93" s="4" t="s">
        <v>193</v>
      </c>
      <c r="C93" s="31" t="n">
        <f aca="false">Assumptions!$C$5</f>
        <v>100</v>
      </c>
      <c r="G93" s="34"/>
      <c r="H93" s="33" t="n">
        <f aca="false">$C93*Assumptions!$C$17</f>
        <v>100</v>
      </c>
      <c r="I93" s="33" t="n">
        <f aca="false">$C93*Assumptions!$D$17</f>
        <v>15</v>
      </c>
      <c r="J93" s="33" t="n">
        <f aca="false">$C93*Assumptions!$E$17</f>
        <v>5</v>
      </c>
      <c r="K93" s="33" t="n">
        <f aca="false">$C93*Assumptions!$F$17</f>
        <v>5</v>
      </c>
      <c r="M93" s="33" t="n">
        <f aca="false">$C93*Assumptions!$G$17</f>
        <v>125</v>
      </c>
      <c r="O93" s="4" t="s">
        <v>218</v>
      </c>
      <c r="P93" s="31" t="n">
        <f aca="false">Assumptions!$C$11*Assumptions!$C$5*Assumptions!$C$6</f>
        <v>62.5</v>
      </c>
      <c r="T93" s="34"/>
      <c r="V93" s="33" t="n">
        <f aca="false">$P93*Assumptions!$C$18</f>
        <v>62.5</v>
      </c>
      <c r="W93" s="33" t="n">
        <f aca="false">$P93*Assumptions!$D$18</f>
        <v>62.5</v>
      </c>
      <c r="X93" s="33" t="n">
        <f aca="false">$P93*Assumptions!$E$18</f>
        <v>0</v>
      </c>
      <c r="Y93" s="33" t="n">
        <f aca="false">$P93*Assumptions!$F$18</f>
        <v>0</v>
      </c>
      <c r="Z93" s="33" t="n">
        <f aca="false">$P93*Assumptions!$G$18</f>
        <v>125</v>
      </c>
    </row>
    <row r="94" customFormat="false" ht="15" hidden="false" customHeight="false" outlineLevel="0" collapsed="false">
      <c r="B94" s="4" t="s">
        <v>195</v>
      </c>
      <c r="C94" s="31" t="n">
        <f aca="false">Assumptions!$C$5</f>
        <v>100</v>
      </c>
      <c r="G94" s="34"/>
      <c r="I94" s="33" t="n">
        <f aca="false">$C94*Assumptions!$C$17</f>
        <v>100</v>
      </c>
      <c r="J94" s="33" t="n">
        <f aca="false">$C94*Assumptions!$D$17</f>
        <v>15</v>
      </c>
      <c r="K94" s="33" t="n">
        <f aca="false">$C94*Assumptions!$E$17</f>
        <v>5</v>
      </c>
      <c r="L94" s="33" t="n">
        <f aca="false">$C94*Assumptions!$F$17</f>
        <v>5</v>
      </c>
      <c r="M94" s="33" t="n">
        <f aca="false">$C94*Assumptions!$G$17</f>
        <v>125</v>
      </c>
      <c r="O94" s="4" t="s">
        <v>219</v>
      </c>
      <c r="P94" s="31" t="n">
        <f aca="false">Assumptions!$C$11*Assumptions!$C$5*Assumptions!$C$6</f>
        <v>62.5</v>
      </c>
      <c r="T94" s="34"/>
      <c r="W94" s="33" t="n">
        <f aca="false">$P94*Assumptions!$C$18</f>
        <v>62.5</v>
      </c>
      <c r="X94" s="33" t="n">
        <f aca="false">$P94*Assumptions!$D$18</f>
        <v>62.5</v>
      </c>
      <c r="Y94" s="33" t="n">
        <f aca="false">$P94*Assumptions!$E$18</f>
        <v>0</v>
      </c>
      <c r="Z94" s="33" t="n">
        <f aca="false">$P94*Assumptions!$G$18</f>
        <v>125</v>
      </c>
    </row>
    <row r="95" customFormat="false" ht="15" hidden="false" customHeight="false" outlineLevel="0" collapsed="false">
      <c r="B95" s="4" t="s">
        <v>197</v>
      </c>
      <c r="C95" s="31" t="n">
        <f aca="false">Assumptions!$C$5</f>
        <v>100</v>
      </c>
      <c r="G95" s="34"/>
      <c r="J95" s="33" t="n">
        <f aca="false">$C95*Assumptions!$C$17</f>
        <v>100</v>
      </c>
      <c r="K95" s="33" t="n">
        <f aca="false">$C95*Assumptions!$D$17</f>
        <v>15</v>
      </c>
      <c r="L95" s="33" t="n">
        <f aca="false">$C95*Assumptions!$E$17</f>
        <v>5</v>
      </c>
      <c r="M95" s="33" t="n">
        <f aca="false">$C95*Assumptions!$G$17</f>
        <v>125</v>
      </c>
      <c r="O95" s="4" t="s">
        <v>220</v>
      </c>
      <c r="P95" s="31" t="n">
        <f aca="false">Assumptions!$C$11*Assumptions!$C$5*Assumptions!$C$6</f>
        <v>62.5</v>
      </c>
      <c r="T95" s="34"/>
      <c r="X95" s="33" t="n">
        <f aca="false">$P95*Assumptions!$C$18</f>
        <v>62.5</v>
      </c>
      <c r="Y95" s="33" t="n">
        <f aca="false">$P95*Assumptions!$D$18</f>
        <v>62.5</v>
      </c>
      <c r="Z95" s="33" t="n">
        <f aca="false">$P95*Assumptions!$G$18</f>
        <v>125</v>
      </c>
    </row>
    <row r="96" customFormat="false" ht="15" hidden="false" customHeight="false" outlineLevel="0" collapsed="false">
      <c r="B96" s="4" t="s">
        <v>199</v>
      </c>
      <c r="C96" s="31" t="n">
        <f aca="false">Assumptions!$C$5</f>
        <v>100</v>
      </c>
      <c r="G96" s="34"/>
      <c r="K96" s="33" t="n">
        <f aca="false">$C96*Assumptions!$C$17</f>
        <v>100</v>
      </c>
      <c r="L96" s="33" t="n">
        <f aca="false">$C96*Assumptions!$D$17</f>
        <v>15</v>
      </c>
      <c r="M96" s="33" t="n">
        <f aca="false">$C96*Assumptions!$G$17</f>
        <v>125</v>
      </c>
      <c r="O96" s="4" t="s">
        <v>221</v>
      </c>
      <c r="P96" s="31" t="n">
        <f aca="false">Assumptions!$C$11*Assumptions!$C$5*Assumptions!$C$6</f>
        <v>62.5</v>
      </c>
      <c r="T96" s="34"/>
      <c r="Y96" s="33" t="n">
        <f aca="false">$P96*Assumptions!$C$18</f>
        <v>62.5</v>
      </c>
      <c r="Z96" s="33" t="n">
        <f aca="false">$P96*Assumptions!$G$18</f>
        <v>125</v>
      </c>
    </row>
    <row r="97" customFormat="false" ht="15" hidden="false" customHeight="false" outlineLevel="0" collapsed="false">
      <c r="B97" s="4" t="s">
        <v>201</v>
      </c>
      <c r="C97" s="31" t="n">
        <f aca="false">Assumptions!$C$5</f>
        <v>100</v>
      </c>
      <c r="G97" s="34"/>
      <c r="L97" s="33" t="n">
        <f aca="false">$C97*Assumptions!$C$17</f>
        <v>100</v>
      </c>
      <c r="M97" s="33" t="n">
        <f aca="false">$C97*Assumptions!$G$17</f>
        <v>125</v>
      </c>
      <c r="O97" s="8" t="s">
        <v>203</v>
      </c>
      <c r="P97" s="8" t="s">
        <v>204</v>
      </c>
      <c r="Q97" s="13" t="n">
        <f aca="false">Q87+SUM(Q88:Q96)</f>
        <v>125</v>
      </c>
      <c r="R97" s="13" t="n">
        <f aca="false">R87+SUM(R88:R96)</f>
        <v>125</v>
      </c>
      <c r="S97" s="13" t="n">
        <f aca="false">S87+SUM(S88:S96)</f>
        <v>125</v>
      </c>
      <c r="T97" s="35" t="n">
        <f aca="false">T87+SUM(T88:T96)</f>
        <v>150</v>
      </c>
      <c r="U97" s="13" t="n">
        <f aca="false">U87+SUM(U88:U96)</f>
        <v>150</v>
      </c>
      <c r="V97" s="13" t="n">
        <f aca="false">V87+SUM(V88:V96)</f>
        <v>137.5</v>
      </c>
      <c r="W97" s="13" t="n">
        <f aca="false">W87+SUM(W88:W96)</f>
        <v>125</v>
      </c>
      <c r="X97" s="13" t="n">
        <f aca="false">X87+SUM(X88:X96)</f>
        <v>125</v>
      </c>
      <c r="Y97" s="13" t="n">
        <f aca="false">Y87+SUM(Y88:Y96)</f>
        <v>125</v>
      </c>
      <c r="Z97" s="13" t="n">
        <f aca="false">SUM(Z88:Z96)</f>
        <v>875</v>
      </c>
    </row>
    <row r="98" customFormat="false" ht="15" hidden="false" customHeight="false" outlineLevel="0" collapsed="false">
      <c r="B98" s="8" t="s">
        <v>203</v>
      </c>
      <c r="C98" s="8" t="s">
        <v>204</v>
      </c>
      <c r="D98" s="13" t="n">
        <f aca="false">D87+SUM(D88:D97)</f>
        <v>125</v>
      </c>
      <c r="E98" s="13" t="n">
        <f aca="false">E87+SUM(E88:E97)</f>
        <v>128.75</v>
      </c>
      <c r="F98" s="13" t="n">
        <f aca="false">F87+SUM(F88:F97)</f>
        <v>130</v>
      </c>
      <c r="G98" s="35" t="n">
        <f aca="false">G87+SUM(G88:G97)</f>
        <v>156.25</v>
      </c>
      <c r="H98" s="13" t="n">
        <f aca="false">H87+SUM(H88:H97)</f>
        <v>127.5</v>
      </c>
      <c r="I98" s="13" t="n">
        <f aca="false">I87+SUM(I88:I97)</f>
        <v>126.25</v>
      </c>
      <c r="J98" s="13" t="n">
        <f aca="false">J87+SUM(J88:J97)</f>
        <v>125</v>
      </c>
      <c r="K98" s="13" t="n">
        <f aca="false">K87+SUM(K88:K97)</f>
        <v>125</v>
      </c>
      <c r="L98" s="13" t="n">
        <f aca="false">L87+SUM(L88:L97)</f>
        <v>125</v>
      </c>
      <c r="M98" s="13" t="n">
        <f aca="false">SUM(M88:M97)</f>
        <v>833.75</v>
      </c>
      <c r="O98" s="2" t="s">
        <v>205</v>
      </c>
      <c r="Q98" s="37" t="n">
        <f aca="false">Q97/Q86</f>
        <v>1</v>
      </c>
      <c r="R98" s="37" t="n">
        <f aca="false">R97/R86</f>
        <v>1</v>
      </c>
      <c r="S98" s="37" t="n">
        <f aca="false">S97/S86</f>
        <v>1</v>
      </c>
      <c r="T98" s="36" t="n">
        <f aca="false">T97/T86</f>
        <v>1</v>
      </c>
      <c r="U98" s="37" t="n">
        <f aca="false">U97/U86</f>
        <v>1.2</v>
      </c>
      <c r="V98" s="37" t="n">
        <f aca="false">V97/V86</f>
        <v>1.1</v>
      </c>
      <c r="W98" s="37" t="n">
        <f aca="false">W97/W86</f>
        <v>1</v>
      </c>
      <c r="X98" s="37" t="n">
        <f aca="false">X97/X86</f>
        <v>1</v>
      </c>
      <c r="Y98" s="37" t="n">
        <f aca="false">Y97/Y86</f>
        <v>1</v>
      </c>
    </row>
    <row r="99" customFormat="false" ht="15" hidden="false" customHeight="false" outlineLevel="0" collapsed="false">
      <c r="B99" s="2" t="s">
        <v>205</v>
      </c>
      <c r="D99" s="37" t="n">
        <f aca="false">D98/D86</f>
        <v>1</v>
      </c>
      <c r="E99" s="37" t="n">
        <f aca="false">E98/E86</f>
        <v>1.03</v>
      </c>
      <c r="F99" s="37" t="n">
        <f aca="false">F98/F86</f>
        <v>1.04</v>
      </c>
      <c r="G99" s="36" t="n">
        <f aca="false">G98/G86</f>
        <v>1.04166666666667</v>
      </c>
      <c r="H99" s="37" t="n">
        <f aca="false">H98/H86</f>
        <v>1.02</v>
      </c>
      <c r="I99" s="37" t="n">
        <f aca="false">I98/I86</f>
        <v>1.01</v>
      </c>
      <c r="J99" s="37" t="n">
        <f aca="false">J98/J86</f>
        <v>1</v>
      </c>
      <c r="K99" s="37" t="n">
        <f aca="false">K98/K86</f>
        <v>1</v>
      </c>
      <c r="L99" s="37" t="n">
        <f aca="false">L98/L86</f>
        <v>1</v>
      </c>
      <c r="O99" s="2" t="s">
        <v>206</v>
      </c>
      <c r="Q99" s="39" t="n">
        <f aca="false">Q97-Assumptions!$C$5</f>
        <v>25</v>
      </c>
      <c r="R99" s="39" t="n">
        <f aca="false">R97-Q97</f>
        <v>0</v>
      </c>
      <c r="S99" s="39" t="n">
        <f aca="false">S97-R97</f>
        <v>0</v>
      </c>
      <c r="T99" s="38" t="n">
        <f aca="false">T97-S97</f>
        <v>25</v>
      </c>
      <c r="U99" s="39" t="n">
        <f aca="false">U97-T97</f>
        <v>0</v>
      </c>
      <c r="V99" s="39" t="n">
        <f aca="false">V97-U97</f>
        <v>-12.5</v>
      </c>
      <c r="W99" s="39" t="n">
        <f aca="false">W97-V97</f>
        <v>-12.5</v>
      </c>
      <c r="X99" s="39" t="n">
        <f aca="false">X97-W97</f>
        <v>0</v>
      </c>
      <c r="Y99" s="39" t="n">
        <f aca="false">Y97-X97</f>
        <v>0</v>
      </c>
    </row>
    <row r="100" customFormat="false" ht="15" hidden="false" customHeight="false" outlineLevel="0" collapsed="false">
      <c r="B100" s="2" t="s">
        <v>206</v>
      </c>
      <c r="D100" s="39" t="n">
        <f aca="false">D98-Assumptions!$C$5</f>
        <v>25</v>
      </c>
      <c r="E100" s="39" t="n">
        <f aca="false">E98-D98</f>
        <v>3.75</v>
      </c>
      <c r="F100" s="39" t="n">
        <f aca="false">F98-E98</f>
        <v>1.25</v>
      </c>
      <c r="G100" s="38" t="n">
        <f aca="false">G98-F98</f>
        <v>26.25</v>
      </c>
      <c r="H100" s="39" t="n">
        <f aca="false">H98-G98</f>
        <v>-28.75</v>
      </c>
      <c r="I100" s="39" t="n">
        <f aca="false">I98-H98</f>
        <v>-1.25</v>
      </c>
      <c r="J100" s="39" t="n">
        <f aca="false">J98-I98</f>
        <v>-1.25</v>
      </c>
      <c r="K100" s="39" t="n">
        <f aca="false">K98-J98</f>
        <v>0</v>
      </c>
      <c r="L100" s="39" t="n">
        <f aca="false">L98-K98</f>
        <v>0</v>
      </c>
      <c r="T100" s="34"/>
    </row>
    <row r="101" customFormat="false" ht="15" hidden="false" customHeight="false" outlineLevel="0" collapsed="false">
      <c r="G101" s="34"/>
    </row>
    <row r="104" customFormat="false" ht="15" hidden="false" customHeight="false" outlineLevel="0" collapsed="false">
      <c r="B104" s="3" t="s">
        <v>228</v>
      </c>
    </row>
    <row r="105" customFormat="false" ht="15" hidden="false" customHeight="false" outlineLevel="0" collapsed="false">
      <c r="B105" s="5" t="s">
        <v>180</v>
      </c>
      <c r="C105" s="7" t="s">
        <v>181</v>
      </c>
      <c r="D105" s="7" t="s">
        <v>91</v>
      </c>
      <c r="E105" s="7" t="s">
        <v>92</v>
      </c>
      <c r="F105" s="7" t="s">
        <v>93</v>
      </c>
      <c r="G105" s="7" t="s">
        <v>94</v>
      </c>
      <c r="H105" s="7" t="s">
        <v>95</v>
      </c>
      <c r="I105" s="7" t="s">
        <v>96</v>
      </c>
      <c r="J105" s="7" t="s">
        <v>97</v>
      </c>
      <c r="K105" s="7" t="s">
        <v>98</v>
      </c>
      <c r="L105" s="7" t="s">
        <v>99</v>
      </c>
      <c r="M105" s="7" t="s">
        <v>100</v>
      </c>
      <c r="O105" s="25" t="s">
        <v>182</v>
      </c>
      <c r="P105" s="26" t="s">
        <v>181</v>
      </c>
      <c r="Q105" s="26" t="s">
        <v>91</v>
      </c>
      <c r="R105" s="26" t="s">
        <v>92</v>
      </c>
      <c r="S105" s="26" t="s">
        <v>93</v>
      </c>
      <c r="T105" s="26" t="s">
        <v>94</v>
      </c>
      <c r="U105" s="26" t="s">
        <v>95</v>
      </c>
      <c r="V105" s="26" t="s">
        <v>96</v>
      </c>
      <c r="W105" s="26" t="s">
        <v>97</v>
      </c>
      <c r="X105" s="26" t="s">
        <v>98</v>
      </c>
      <c r="Y105" s="26" t="s">
        <v>99</v>
      </c>
      <c r="Z105" s="26" t="s">
        <v>100</v>
      </c>
    </row>
    <row r="106" customFormat="false" ht="15" hidden="false" customHeight="false" outlineLevel="0" collapsed="false">
      <c r="B106" s="2" t="s">
        <v>183</v>
      </c>
      <c r="D106" s="27" t="n">
        <f aca="false">Assumptions!$C$5*Assumptions!$C$6</f>
        <v>125</v>
      </c>
      <c r="E106" s="28" t="n">
        <f aca="false">Assumptions!$C$5*Assumptions!$C$6</f>
        <v>125</v>
      </c>
      <c r="F106" s="28" t="n">
        <f aca="false">Assumptions!$C$5*Assumptions!$C$6</f>
        <v>125</v>
      </c>
      <c r="G106" s="28" t="n">
        <f aca="false">Assumptions!$C$5*Assumptions!$C$7</f>
        <v>150</v>
      </c>
      <c r="H106" s="28" t="n">
        <f aca="false">Assumptions!$C$5*Assumptions!$C$6</f>
        <v>125</v>
      </c>
      <c r="I106" s="28" t="n">
        <f aca="false">Assumptions!$C$5*Assumptions!$C$6</f>
        <v>125</v>
      </c>
      <c r="J106" s="28" t="n">
        <f aca="false">Assumptions!$C$5*Assumptions!$C$6</f>
        <v>125</v>
      </c>
      <c r="K106" s="28" t="n">
        <f aca="false">Assumptions!$C$5*Assumptions!$C$6</f>
        <v>125</v>
      </c>
      <c r="L106" s="28" t="n">
        <f aca="false">Assumptions!$C$5*Assumptions!$C$6</f>
        <v>125</v>
      </c>
      <c r="O106" s="2" t="s">
        <v>183</v>
      </c>
      <c r="Q106" s="27" t="n">
        <f aca="false">Assumptions!$C$5*Assumptions!$C$6</f>
        <v>125</v>
      </c>
      <c r="R106" s="28" t="n">
        <f aca="false">Assumptions!$C$5*Assumptions!$C$6</f>
        <v>125</v>
      </c>
      <c r="S106" s="28" t="n">
        <f aca="false">Assumptions!$C$5*Assumptions!$C$6</f>
        <v>125</v>
      </c>
      <c r="T106" s="28" t="n">
        <f aca="false">Assumptions!$C$5*Assumptions!$C$7</f>
        <v>150</v>
      </c>
      <c r="U106" s="28" t="n">
        <f aca="false">Assumptions!$C$5*Assumptions!$C$6</f>
        <v>125</v>
      </c>
      <c r="V106" s="28" t="n">
        <f aca="false">Assumptions!$C$5*Assumptions!$C$6</f>
        <v>125</v>
      </c>
      <c r="W106" s="28" t="n">
        <f aca="false">Assumptions!$C$5*Assumptions!$C$6</f>
        <v>125</v>
      </c>
      <c r="X106" s="28" t="n">
        <f aca="false">Assumptions!$C$5*Assumptions!$C$6</f>
        <v>125</v>
      </c>
      <c r="Y106" s="28" t="n">
        <f aca="false">Assumptions!$C$5*Assumptions!$C$6</f>
        <v>125</v>
      </c>
    </row>
    <row r="107" customFormat="false" ht="15" hidden="false" customHeight="false" outlineLevel="0" collapsed="false">
      <c r="B107" s="4" t="s">
        <v>184</v>
      </c>
      <c r="D107" s="29" t="n">
        <v>50</v>
      </c>
      <c r="E107" s="30" t="n">
        <v>0</v>
      </c>
      <c r="F107" s="30" t="n">
        <v>0</v>
      </c>
      <c r="G107" s="30" t="n">
        <v>0</v>
      </c>
      <c r="H107" s="30" t="n">
        <v>0</v>
      </c>
      <c r="I107" s="30" t="n">
        <v>0</v>
      </c>
      <c r="J107" s="30" t="n">
        <v>0</v>
      </c>
      <c r="K107" s="30" t="n">
        <v>0</v>
      </c>
      <c r="L107" s="30" t="n">
        <v>0</v>
      </c>
      <c r="O107" s="4" t="s">
        <v>184</v>
      </c>
      <c r="Q107" s="29" t="n">
        <v>50</v>
      </c>
      <c r="R107" s="30" t="n">
        <v>0</v>
      </c>
      <c r="S107" s="30" t="n">
        <v>0</v>
      </c>
      <c r="T107" s="30" t="n">
        <v>0</v>
      </c>
      <c r="U107" s="30" t="n">
        <v>0</v>
      </c>
      <c r="V107" s="30" t="n">
        <v>0</v>
      </c>
      <c r="W107" s="30" t="n">
        <v>0</v>
      </c>
      <c r="X107" s="30" t="n">
        <v>0</v>
      </c>
      <c r="Y107" s="30" t="n">
        <v>0</v>
      </c>
    </row>
    <row r="108" customFormat="false" ht="15" hidden="false" customHeight="false" outlineLevel="0" collapsed="false">
      <c r="B108" s="4" t="s">
        <v>229</v>
      </c>
      <c r="C108" s="31" t="n">
        <f aca="false">MAX(Assumptions!$C$5*Assumptions!$C$12,D106-(D107))</f>
        <v>75</v>
      </c>
      <c r="D108" s="32" t="n">
        <f aca="false">$C108*Assumptions!$C$21</f>
        <v>75</v>
      </c>
      <c r="E108" s="33" t="n">
        <f aca="false">$C108*Assumptions!$D$21</f>
        <v>0</v>
      </c>
      <c r="F108" s="33" t="n">
        <f aca="false">$C108*Assumptions!$E$21</f>
        <v>0</v>
      </c>
      <c r="G108" s="33" t="n">
        <f aca="false">$C108*Assumptions!$F$21</f>
        <v>0</v>
      </c>
      <c r="M108" s="33" t="n">
        <f aca="false">$C108*Assumptions!$G$21</f>
        <v>75</v>
      </c>
      <c r="O108" s="4" t="s">
        <v>230</v>
      </c>
      <c r="P108" s="31" t="n">
        <f aca="false">MAX(Assumptions!$C$5*Assumptions!$C$12,Q106-(Q107))</f>
        <v>75</v>
      </c>
      <c r="Q108" s="32" t="n">
        <f aca="false">$P108*Assumptions!$C$21</f>
        <v>75</v>
      </c>
      <c r="R108" s="33" t="n">
        <f aca="false">$P108*Assumptions!$D$21</f>
        <v>0</v>
      </c>
      <c r="S108" s="33" t="n">
        <f aca="false">$P108*Assumptions!$E$21</f>
        <v>0</v>
      </c>
      <c r="T108" s="33" t="n">
        <f aca="false">$P108*Assumptions!$F$21</f>
        <v>0</v>
      </c>
      <c r="Z108" s="33" t="n">
        <f aca="false">$P108*Assumptions!$G$21</f>
        <v>75</v>
      </c>
    </row>
    <row r="109" customFormat="false" ht="15" hidden="false" customHeight="false" outlineLevel="0" collapsed="false">
      <c r="B109" s="4" t="s">
        <v>231</v>
      </c>
      <c r="C109" s="31" t="n">
        <f aca="false">Assumptions!$C$5</f>
        <v>100</v>
      </c>
      <c r="D109" s="32" t="n">
        <f aca="false">$C109*Assumptions!$C$22</f>
        <v>0</v>
      </c>
      <c r="E109" s="33" t="n">
        <f aca="false">$C109*Assumptions!$D$22</f>
        <v>25</v>
      </c>
      <c r="F109" s="33" t="n">
        <f aca="false">$C109*Assumptions!$E$22</f>
        <v>10</v>
      </c>
      <c r="G109" s="33" t="n">
        <f aca="false">$C109*Assumptions!$F$22</f>
        <v>5</v>
      </c>
      <c r="M109" s="33" t="n">
        <f aca="false">$C109*Assumptions!$G$22</f>
        <v>40</v>
      </c>
      <c r="O109" s="4" t="s">
        <v>232</v>
      </c>
      <c r="P109" s="31" t="n">
        <f aca="false">Assumptions!$C$5*Assumptions!$C$6</f>
        <v>125</v>
      </c>
      <c r="Q109" s="32" t="n">
        <f aca="false">$P109*Assumptions!$C$20</f>
        <v>0</v>
      </c>
      <c r="R109" s="33" t="n">
        <f aca="false">$P109*Assumptions!$D$20</f>
        <v>125</v>
      </c>
      <c r="S109" s="33" t="n">
        <f aca="false">$P109*Assumptions!$E$20</f>
        <v>62.5</v>
      </c>
      <c r="T109" s="33" t="n">
        <f aca="false">$P109*Assumptions!$F$20</f>
        <v>0</v>
      </c>
      <c r="Z109" s="33" t="n">
        <f aca="false">$P109*Assumptions!$G$20</f>
        <v>187.5</v>
      </c>
    </row>
    <row r="110" customFormat="false" ht="15" hidden="false" customHeight="false" outlineLevel="0" collapsed="false">
      <c r="B110" s="4" t="s">
        <v>187</v>
      </c>
      <c r="C110" s="31" t="n">
        <f aca="false">Assumptions!$C$5</f>
        <v>100</v>
      </c>
      <c r="D110" s="34"/>
      <c r="E110" s="33" t="n">
        <f aca="false">$C110*Assumptions!$C$17</f>
        <v>100</v>
      </c>
      <c r="F110" s="33" t="n">
        <f aca="false">$C110*Assumptions!$D$17</f>
        <v>15</v>
      </c>
      <c r="G110" s="33" t="n">
        <f aca="false">$C110*Assumptions!$E$17</f>
        <v>5</v>
      </c>
      <c r="H110" s="33" t="n">
        <f aca="false">$C110*Assumptions!$F$17</f>
        <v>5</v>
      </c>
      <c r="M110" s="33" t="n">
        <f aca="false">$C110*Assumptions!$G$17</f>
        <v>125</v>
      </c>
      <c r="O110" s="4" t="s">
        <v>233</v>
      </c>
      <c r="P110" s="31" t="n">
        <f aca="false">Assumptions!$C$11*Assumptions!$C$5*Assumptions!$C$6</f>
        <v>62.5</v>
      </c>
      <c r="Q110" s="34"/>
      <c r="S110" s="33" t="n">
        <f aca="false">$P110*Assumptions!$C$18</f>
        <v>62.5</v>
      </c>
      <c r="T110" s="33" t="n">
        <f aca="false">$P110*Assumptions!$D$18</f>
        <v>62.5</v>
      </c>
      <c r="U110" s="33" t="n">
        <f aca="false">$P110*Assumptions!$E$18</f>
        <v>0</v>
      </c>
      <c r="V110" s="33" t="n">
        <f aca="false">$P110*Assumptions!$F$18</f>
        <v>0</v>
      </c>
      <c r="Z110" s="33" t="n">
        <f aca="false">$P110*Assumptions!$G$18</f>
        <v>125</v>
      </c>
    </row>
    <row r="111" customFormat="false" ht="15" hidden="false" customHeight="false" outlineLevel="0" collapsed="false">
      <c r="B111" s="4" t="s">
        <v>189</v>
      </c>
      <c r="C111" s="31" t="n">
        <f aca="false">Assumptions!$C$5</f>
        <v>100</v>
      </c>
      <c r="D111" s="34"/>
      <c r="F111" s="33" t="n">
        <f aca="false">$C111*Assumptions!$C$17</f>
        <v>100</v>
      </c>
      <c r="G111" s="33" t="n">
        <f aca="false">$C111*Assumptions!$D$17</f>
        <v>15</v>
      </c>
      <c r="H111" s="33" t="n">
        <f aca="false">$C111*Assumptions!$E$17</f>
        <v>5</v>
      </c>
      <c r="I111" s="33" t="n">
        <f aca="false">$C111*Assumptions!$F$17</f>
        <v>5</v>
      </c>
      <c r="M111" s="33" t="n">
        <f aca="false">$C111*Assumptions!$G$17</f>
        <v>125</v>
      </c>
      <c r="O111" s="4" t="s">
        <v>275</v>
      </c>
      <c r="P111" s="31" t="n">
        <f aca="false">MAX(0,T106-(T107+SUM(T108:T110)))</f>
        <v>87.5</v>
      </c>
      <c r="Q111" s="34"/>
      <c r="T111" s="33" t="n">
        <f aca="false">$P111*Assumptions!$C$18</f>
        <v>87.5</v>
      </c>
      <c r="U111" s="33" t="n">
        <f aca="false">$P111*Assumptions!$D$18</f>
        <v>87.5</v>
      </c>
      <c r="V111" s="33" t="n">
        <f aca="false">$P111*Assumptions!$E$18</f>
        <v>0</v>
      </c>
      <c r="W111" s="33" t="n">
        <f aca="false">$P111*Assumptions!$F$18</f>
        <v>0</v>
      </c>
      <c r="Z111" s="33" t="n">
        <f aca="false">$P111*Assumptions!$G$18</f>
        <v>175</v>
      </c>
    </row>
    <row r="112" customFormat="false" ht="15" hidden="false" customHeight="false" outlineLevel="0" collapsed="false">
      <c r="B112" s="4" t="s">
        <v>274</v>
      </c>
      <c r="C112" s="31" t="n">
        <f aca="false">Assumptions!$C$5*Assumptions!$C$7</f>
        <v>150</v>
      </c>
      <c r="D112" s="34"/>
      <c r="G112" s="33" t="n">
        <f aca="false">$C112*Assumptions!$C$17</f>
        <v>150</v>
      </c>
      <c r="H112" s="33" t="n">
        <f aca="false">$C112*Assumptions!$D$17</f>
        <v>22.5</v>
      </c>
      <c r="I112" s="33" t="n">
        <f aca="false">$C112*Assumptions!$E$17</f>
        <v>7.5</v>
      </c>
      <c r="J112" s="33" t="n">
        <f aca="false">$C112*Assumptions!$F$17</f>
        <v>7.5</v>
      </c>
      <c r="M112" s="33" t="n">
        <f aca="false">$C112*Assumptions!$G$17</f>
        <v>187.5</v>
      </c>
      <c r="O112" s="4" t="s">
        <v>217</v>
      </c>
      <c r="P112" s="31" t="n">
        <f aca="false">Assumptions!$C$11*Assumptions!$C$5*Assumptions!$C$6</f>
        <v>62.5</v>
      </c>
      <c r="Q112" s="34"/>
      <c r="U112" s="33" t="n">
        <f aca="false">$P112*Assumptions!$C$18</f>
        <v>62.5</v>
      </c>
      <c r="V112" s="33" t="n">
        <f aca="false">$P112*Assumptions!$D$18</f>
        <v>62.5</v>
      </c>
      <c r="W112" s="33" t="n">
        <f aca="false">$P112*Assumptions!$E$18</f>
        <v>0</v>
      </c>
      <c r="X112" s="33" t="n">
        <f aca="false">$P112*Assumptions!$F$18</f>
        <v>0</v>
      </c>
      <c r="Z112" s="33" t="n">
        <f aca="false">$P112*Assumptions!$G$18</f>
        <v>125</v>
      </c>
    </row>
    <row r="113" customFormat="false" ht="15" hidden="false" customHeight="false" outlineLevel="0" collapsed="false">
      <c r="B113" s="4" t="s">
        <v>193</v>
      </c>
      <c r="C113" s="31" t="n">
        <f aca="false">Assumptions!$C$5</f>
        <v>100</v>
      </c>
      <c r="D113" s="34"/>
      <c r="H113" s="33" t="n">
        <f aca="false">$C113*Assumptions!$C$17</f>
        <v>100</v>
      </c>
      <c r="I113" s="33" t="n">
        <f aca="false">$C113*Assumptions!$D$17</f>
        <v>15</v>
      </c>
      <c r="J113" s="33" t="n">
        <f aca="false">$C113*Assumptions!$E$17</f>
        <v>5</v>
      </c>
      <c r="K113" s="33" t="n">
        <f aca="false">$C113*Assumptions!$F$17</f>
        <v>5</v>
      </c>
      <c r="M113" s="33" t="n">
        <f aca="false">$C113*Assumptions!$G$17</f>
        <v>125</v>
      </c>
      <c r="O113" s="4" t="s">
        <v>218</v>
      </c>
      <c r="P113" s="31" t="n">
        <f aca="false">Assumptions!$C$11*Assumptions!$C$5*Assumptions!$C$6</f>
        <v>62.5</v>
      </c>
      <c r="Q113" s="34"/>
      <c r="V113" s="33" t="n">
        <f aca="false">$P113*Assumptions!$C$18</f>
        <v>62.5</v>
      </c>
      <c r="W113" s="33" t="n">
        <f aca="false">$P113*Assumptions!$D$18</f>
        <v>62.5</v>
      </c>
      <c r="X113" s="33" t="n">
        <f aca="false">$P113*Assumptions!$E$18</f>
        <v>0</v>
      </c>
      <c r="Y113" s="33" t="n">
        <f aca="false">$P113*Assumptions!$F$18</f>
        <v>0</v>
      </c>
      <c r="Z113" s="33" t="n">
        <f aca="false">$P113*Assumptions!$G$18</f>
        <v>125</v>
      </c>
    </row>
    <row r="114" customFormat="false" ht="15" hidden="false" customHeight="false" outlineLevel="0" collapsed="false">
      <c r="B114" s="4" t="s">
        <v>195</v>
      </c>
      <c r="C114" s="31" t="n">
        <f aca="false">Assumptions!$C$5</f>
        <v>100</v>
      </c>
      <c r="D114" s="34"/>
      <c r="I114" s="33" t="n">
        <f aca="false">$C114*Assumptions!$C$17</f>
        <v>100</v>
      </c>
      <c r="J114" s="33" t="n">
        <f aca="false">$C114*Assumptions!$D$17</f>
        <v>15</v>
      </c>
      <c r="K114" s="33" t="n">
        <f aca="false">$C114*Assumptions!$E$17</f>
        <v>5</v>
      </c>
      <c r="L114" s="33" t="n">
        <f aca="false">$C114*Assumptions!$F$17</f>
        <v>5</v>
      </c>
      <c r="M114" s="33" t="n">
        <f aca="false">$C114*Assumptions!$G$17</f>
        <v>125</v>
      </c>
      <c r="O114" s="4" t="s">
        <v>219</v>
      </c>
      <c r="P114" s="31" t="n">
        <f aca="false">Assumptions!$C$11*Assumptions!$C$5*Assumptions!$C$6</f>
        <v>62.5</v>
      </c>
      <c r="Q114" s="34"/>
      <c r="W114" s="33" t="n">
        <f aca="false">$P114*Assumptions!$C$18</f>
        <v>62.5</v>
      </c>
      <c r="X114" s="33" t="n">
        <f aca="false">$P114*Assumptions!$D$18</f>
        <v>62.5</v>
      </c>
      <c r="Y114" s="33" t="n">
        <f aca="false">$P114*Assumptions!$E$18</f>
        <v>0</v>
      </c>
      <c r="Z114" s="33" t="n">
        <f aca="false">$P114*Assumptions!$G$18</f>
        <v>125</v>
      </c>
    </row>
    <row r="115" customFormat="false" ht="15" hidden="false" customHeight="false" outlineLevel="0" collapsed="false">
      <c r="B115" s="4" t="s">
        <v>197</v>
      </c>
      <c r="C115" s="31" t="n">
        <f aca="false">Assumptions!$C$5</f>
        <v>100</v>
      </c>
      <c r="D115" s="34"/>
      <c r="J115" s="33" t="n">
        <f aca="false">$C115*Assumptions!$C$17</f>
        <v>100</v>
      </c>
      <c r="K115" s="33" t="n">
        <f aca="false">$C115*Assumptions!$D$17</f>
        <v>15</v>
      </c>
      <c r="L115" s="33" t="n">
        <f aca="false">$C115*Assumptions!$E$17</f>
        <v>5</v>
      </c>
      <c r="M115" s="33" t="n">
        <f aca="false">$C115*Assumptions!$G$17</f>
        <v>125</v>
      </c>
      <c r="O115" s="4" t="s">
        <v>220</v>
      </c>
      <c r="P115" s="31" t="n">
        <f aca="false">Assumptions!$C$11*Assumptions!$C$5*Assumptions!$C$6</f>
        <v>62.5</v>
      </c>
      <c r="Q115" s="34"/>
      <c r="X115" s="33" t="n">
        <f aca="false">$P115*Assumptions!$C$18</f>
        <v>62.5</v>
      </c>
      <c r="Y115" s="33" t="n">
        <f aca="false">$P115*Assumptions!$D$18</f>
        <v>62.5</v>
      </c>
      <c r="Z115" s="33" t="n">
        <f aca="false">$P115*Assumptions!$G$18</f>
        <v>125</v>
      </c>
    </row>
    <row r="116" customFormat="false" ht="15" hidden="false" customHeight="false" outlineLevel="0" collapsed="false">
      <c r="B116" s="4" t="s">
        <v>199</v>
      </c>
      <c r="C116" s="31" t="n">
        <f aca="false">Assumptions!$C$5</f>
        <v>100</v>
      </c>
      <c r="D116" s="34"/>
      <c r="K116" s="33" t="n">
        <f aca="false">$C116*Assumptions!$C$17</f>
        <v>100</v>
      </c>
      <c r="L116" s="33" t="n">
        <f aca="false">$C116*Assumptions!$D$17</f>
        <v>15</v>
      </c>
      <c r="M116" s="33" t="n">
        <f aca="false">$C116*Assumptions!$G$17</f>
        <v>125</v>
      </c>
      <c r="O116" s="4" t="s">
        <v>221</v>
      </c>
      <c r="P116" s="31" t="n">
        <f aca="false">Assumptions!$C$11*Assumptions!$C$5*Assumptions!$C$6</f>
        <v>62.5</v>
      </c>
      <c r="Q116" s="34"/>
      <c r="Y116" s="33" t="n">
        <f aca="false">$P116*Assumptions!$C$18</f>
        <v>62.5</v>
      </c>
      <c r="Z116" s="33" t="n">
        <f aca="false">$P116*Assumptions!$G$18</f>
        <v>125</v>
      </c>
    </row>
    <row r="117" customFormat="false" ht="15" hidden="false" customHeight="false" outlineLevel="0" collapsed="false">
      <c r="B117" s="4" t="s">
        <v>201</v>
      </c>
      <c r="C117" s="31" t="n">
        <f aca="false">Assumptions!$C$5</f>
        <v>100</v>
      </c>
      <c r="D117" s="34"/>
      <c r="L117" s="33" t="n">
        <f aca="false">$C117*Assumptions!$C$17</f>
        <v>100</v>
      </c>
      <c r="M117" s="33" t="n">
        <f aca="false">$C117*Assumptions!$G$17</f>
        <v>125</v>
      </c>
      <c r="O117" s="8" t="s">
        <v>203</v>
      </c>
      <c r="P117" s="8" t="s">
        <v>204</v>
      </c>
      <c r="Q117" s="35" t="n">
        <f aca="false">Q107+SUM(Q108:Q116)</f>
        <v>125</v>
      </c>
      <c r="R117" s="13" t="n">
        <f aca="false">R107+SUM(R108:R116)</f>
        <v>125</v>
      </c>
      <c r="S117" s="13" t="n">
        <f aca="false">S107+SUM(S108:S116)</f>
        <v>125</v>
      </c>
      <c r="T117" s="13" t="n">
        <f aca="false">T107+SUM(T108:T116)</f>
        <v>150</v>
      </c>
      <c r="U117" s="13" t="n">
        <f aca="false">U107+SUM(U108:U116)</f>
        <v>150</v>
      </c>
      <c r="V117" s="13" t="n">
        <f aca="false">V107+SUM(V108:V116)</f>
        <v>125</v>
      </c>
      <c r="W117" s="13" t="n">
        <f aca="false">W107+SUM(W108:W116)</f>
        <v>125</v>
      </c>
      <c r="X117" s="13" t="n">
        <f aca="false">X107+SUM(X108:X116)</f>
        <v>125</v>
      </c>
      <c r="Y117" s="13" t="n">
        <f aca="false">Y107+SUM(Y108:Y116)</f>
        <v>125</v>
      </c>
      <c r="Z117" s="13" t="n">
        <f aca="false">SUM(Z108:Z116)</f>
        <v>1187.5</v>
      </c>
    </row>
    <row r="118" customFormat="false" ht="15" hidden="false" customHeight="false" outlineLevel="0" collapsed="false">
      <c r="B118" s="8" t="s">
        <v>203</v>
      </c>
      <c r="C118" s="8" t="s">
        <v>204</v>
      </c>
      <c r="D118" s="35" t="n">
        <f aca="false">D107+SUM(D108:D117)</f>
        <v>125</v>
      </c>
      <c r="E118" s="13" t="n">
        <f aca="false">E107+SUM(E108:E117)</f>
        <v>125</v>
      </c>
      <c r="F118" s="13" t="n">
        <f aca="false">F107+SUM(F108:F117)</f>
        <v>125</v>
      </c>
      <c r="G118" s="13" t="n">
        <f aca="false">G107+SUM(G108:G117)</f>
        <v>175</v>
      </c>
      <c r="H118" s="13" t="n">
        <f aca="false">H107+SUM(H108:H117)</f>
        <v>132.5</v>
      </c>
      <c r="I118" s="13" t="n">
        <f aca="false">I107+SUM(I108:I117)</f>
        <v>127.5</v>
      </c>
      <c r="J118" s="13" t="n">
        <f aca="false">J107+SUM(J108:J117)</f>
        <v>127.5</v>
      </c>
      <c r="K118" s="13" t="n">
        <f aca="false">K107+SUM(K108:K117)</f>
        <v>125</v>
      </c>
      <c r="L118" s="13" t="n">
        <f aca="false">L107+SUM(L108:L117)</f>
        <v>125</v>
      </c>
      <c r="M118" s="13" t="n">
        <f aca="false">SUM(M108:M117)</f>
        <v>1177.5</v>
      </c>
      <c r="O118" s="2" t="s">
        <v>205</v>
      </c>
      <c r="Q118" s="36" t="n">
        <f aca="false">Q117/Q106</f>
        <v>1</v>
      </c>
      <c r="R118" s="37" t="n">
        <f aca="false">R117/R106</f>
        <v>1</v>
      </c>
      <c r="S118" s="37" t="n">
        <f aca="false">S117/S106</f>
        <v>1</v>
      </c>
      <c r="T118" s="37" t="n">
        <f aca="false">T117/T106</f>
        <v>1</v>
      </c>
      <c r="U118" s="37" t="n">
        <f aca="false">U117/U106</f>
        <v>1.2</v>
      </c>
      <c r="V118" s="37" t="n">
        <f aca="false">V117/V106</f>
        <v>1</v>
      </c>
      <c r="W118" s="37" t="n">
        <f aca="false">W117/W106</f>
        <v>1</v>
      </c>
      <c r="X118" s="37" t="n">
        <f aca="false">X117/X106</f>
        <v>1</v>
      </c>
      <c r="Y118" s="37" t="n">
        <f aca="false">Y117/Y106</f>
        <v>1</v>
      </c>
    </row>
    <row r="119" customFormat="false" ht="15" hidden="false" customHeight="false" outlineLevel="0" collapsed="false">
      <c r="B119" s="2" t="s">
        <v>205</v>
      </c>
      <c r="D119" s="36" t="n">
        <f aca="false">D118/D106</f>
        <v>1</v>
      </c>
      <c r="E119" s="37" t="n">
        <f aca="false">E118/E106</f>
        <v>1</v>
      </c>
      <c r="F119" s="37" t="n">
        <f aca="false">F118/F106</f>
        <v>1</v>
      </c>
      <c r="G119" s="37" t="n">
        <f aca="false">G118/G106</f>
        <v>1.16666666666667</v>
      </c>
      <c r="H119" s="37" t="n">
        <f aca="false">H118/H106</f>
        <v>1.06</v>
      </c>
      <c r="I119" s="37" t="n">
        <f aca="false">I118/I106</f>
        <v>1.02</v>
      </c>
      <c r="J119" s="37" t="n">
        <f aca="false">J118/J106</f>
        <v>1.02</v>
      </c>
      <c r="K119" s="37" t="n">
        <f aca="false">K118/K106</f>
        <v>1</v>
      </c>
      <c r="L119" s="37" t="n">
        <f aca="false">L118/L106</f>
        <v>1</v>
      </c>
      <c r="O119" s="2" t="s">
        <v>206</v>
      </c>
      <c r="Q119" s="38" t="n">
        <f aca="false">Q117-Assumptions!$C$5</f>
        <v>25</v>
      </c>
      <c r="R119" s="39" t="n">
        <f aca="false">R117-Q117</f>
        <v>0</v>
      </c>
      <c r="S119" s="39" t="n">
        <f aca="false">S117-R117</f>
        <v>0</v>
      </c>
      <c r="T119" s="39" t="n">
        <f aca="false">T117-S117</f>
        <v>25</v>
      </c>
      <c r="U119" s="39" t="n">
        <f aca="false">U117-T117</f>
        <v>0</v>
      </c>
      <c r="V119" s="39" t="n">
        <f aca="false">V117-U117</f>
        <v>-25</v>
      </c>
      <c r="W119" s="39" t="n">
        <f aca="false">W117-V117</f>
        <v>0</v>
      </c>
      <c r="X119" s="39" t="n">
        <f aca="false">X117-W117</f>
        <v>0</v>
      </c>
      <c r="Y119" s="39" t="n">
        <f aca="false">Y117-X117</f>
        <v>0</v>
      </c>
    </row>
    <row r="120" customFormat="false" ht="15" hidden="false" customHeight="false" outlineLevel="0" collapsed="false">
      <c r="B120" s="2" t="s">
        <v>206</v>
      </c>
      <c r="D120" s="38" t="n">
        <f aca="false">D118-Assumptions!$C$5</f>
        <v>25</v>
      </c>
      <c r="E120" s="39" t="n">
        <f aca="false">E118-D118</f>
        <v>0</v>
      </c>
      <c r="F120" s="39" t="n">
        <f aca="false">F118-E118</f>
        <v>0</v>
      </c>
      <c r="G120" s="39" t="n">
        <f aca="false">G118-F118</f>
        <v>50</v>
      </c>
      <c r="H120" s="39" t="n">
        <f aca="false">H118-G118</f>
        <v>-42.5</v>
      </c>
      <c r="I120" s="39" t="n">
        <f aca="false">I118-H118</f>
        <v>-5</v>
      </c>
      <c r="J120" s="39" t="n">
        <f aca="false">J118-I118</f>
        <v>0</v>
      </c>
      <c r="K120" s="39" t="n">
        <f aca="false">K118-J118</f>
        <v>-2.5</v>
      </c>
      <c r="L120" s="39" t="n">
        <f aca="false">L118-K118</f>
        <v>0</v>
      </c>
      <c r="Q120" s="34"/>
    </row>
    <row r="121" customFormat="false" ht="15" hidden="false" customHeight="false" outlineLevel="0" collapsed="false">
      <c r="D121" s="34"/>
    </row>
    <row r="124" customFormat="false" ht="15" hidden="false" customHeight="false" outlineLevel="0" collapsed="false">
      <c r="B124" s="3" t="s">
        <v>235</v>
      </c>
    </row>
    <row r="125" customFormat="false" ht="15" hidden="false" customHeight="false" outlineLevel="0" collapsed="false">
      <c r="B125" s="5" t="s">
        <v>180</v>
      </c>
      <c r="C125" s="7" t="s">
        <v>181</v>
      </c>
      <c r="D125" s="7" t="s">
        <v>91</v>
      </c>
      <c r="E125" s="7" t="s">
        <v>92</v>
      </c>
      <c r="F125" s="7" t="s">
        <v>93</v>
      </c>
      <c r="G125" s="7" t="s">
        <v>94</v>
      </c>
      <c r="H125" s="7" t="s">
        <v>95</v>
      </c>
      <c r="I125" s="7" t="s">
        <v>96</v>
      </c>
      <c r="J125" s="7" t="s">
        <v>97</v>
      </c>
      <c r="K125" s="7" t="s">
        <v>98</v>
      </c>
      <c r="L125" s="7" t="s">
        <v>99</v>
      </c>
      <c r="M125" s="7" t="s">
        <v>100</v>
      </c>
      <c r="O125" s="25" t="s">
        <v>182</v>
      </c>
      <c r="P125" s="26" t="s">
        <v>181</v>
      </c>
      <c r="Q125" s="26" t="s">
        <v>91</v>
      </c>
      <c r="R125" s="26" t="s">
        <v>92</v>
      </c>
      <c r="S125" s="26" t="s">
        <v>93</v>
      </c>
      <c r="T125" s="26" t="s">
        <v>94</v>
      </c>
      <c r="U125" s="26" t="s">
        <v>95</v>
      </c>
      <c r="V125" s="26" t="s">
        <v>96</v>
      </c>
      <c r="W125" s="26" t="s">
        <v>97</v>
      </c>
      <c r="X125" s="26" t="s">
        <v>98</v>
      </c>
      <c r="Y125" s="26" t="s">
        <v>99</v>
      </c>
      <c r="Z125" s="26" t="s">
        <v>100</v>
      </c>
    </row>
    <row r="126" customFormat="false" ht="15" hidden="false" customHeight="false" outlineLevel="0" collapsed="false">
      <c r="B126" s="2" t="s">
        <v>183</v>
      </c>
      <c r="D126" s="27" t="n">
        <f aca="false">Assumptions!$C$5*Assumptions!$C$6</f>
        <v>125</v>
      </c>
      <c r="E126" s="28" t="n">
        <f aca="false">Assumptions!$C$5*Assumptions!$C$6</f>
        <v>125</v>
      </c>
      <c r="F126" s="28" t="n">
        <f aca="false">Assumptions!$C$5*Assumptions!$C$6</f>
        <v>125</v>
      </c>
      <c r="G126" s="28" t="n">
        <f aca="false">Assumptions!$C$5*Assumptions!$C$7</f>
        <v>150</v>
      </c>
      <c r="H126" s="28" t="n">
        <f aca="false">Assumptions!$C$5*Assumptions!$C$6</f>
        <v>125</v>
      </c>
      <c r="I126" s="28" t="n">
        <f aca="false">Assumptions!$C$5*Assumptions!$C$6</f>
        <v>125</v>
      </c>
      <c r="J126" s="28" t="n">
        <f aca="false">Assumptions!$C$5*Assumptions!$C$6</f>
        <v>125</v>
      </c>
      <c r="K126" s="28" t="n">
        <f aca="false">Assumptions!$C$5*Assumptions!$C$6</f>
        <v>125</v>
      </c>
      <c r="L126" s="28" t="n">
        <f aca="false">Assumptions!$C$5*Assumptions!$C$6</f>
        <v>125</v>
      </c>
      <c r="O126" s="2" t="s">
        <v>183</v>
      </c>
      <c r="Q126" s="27" t="n">
        <f aca="false">Assumptions!$C$5*Assumptions!$C$6</f>
        <v>125</v>
      </c>
      <c r="R126" s="28" t="n">
        <f aca="false">Assumptions!$C$5*Assumptions!$C$6</f>
        <v>125</v>
      </c>
      <c r="S126" s="28" t="n">
        <f aca="false">Assumptions!$C$5*Assumptions!$C$6</f>
        <v>125</v>
      </c>
      <c r="T126" s="28" t="n">
        <f aca="false">Assumptions!$C$5*Assumptions!$C$7</f>
        <v>150</v>
      </c>
      <c r="U126" s="28" t="n">
        <f aca="false">Assumptions!$C$5*Assumptions!$C$6</f>
        <v>125</v>
      </c>
      <c r="V126" s="28" t="n">
        <f aca="false">Assumptions!$C$5*Assumptions!$C$6</f>
        <v>125</v>
      </c>
      <c r="W126" s="28" t="n">
        <f aca="false">Assumptions!$C$5*Assumptions!$C$6</f>
        <v>125</v>
      </c>
      <c r="X126" s="28" t="n">
        <f aca="false">Assumptions!$C$5*Assumptions!$C$6</f>
        <v>125</v>
      </c>
      <c r="Y126" s="28" t="n">
        <f aca="false">Assumptions!$C$5*Assumptions!$C$6</f>
        <v>125</v>
      </c>
    </row>
    <row r="127" customFormat="false" ht="15" hidden="false" customHeight="false" outlineLevel="0" collapsed="false">
      <c r="B127" s="4" t="s">
        <v>184</v>
      </c>
      <c r="D127" s="29" t="n">
        <v>75</v>
      </c>
      <c r="E127" s="30" t="n">
        <v>0</v>
      </c>
      <c r="F127" s="30" t="n">
        <v>0</v>
      </c>
      <c r="G127" s="30" t="n">
        <v>0</v>
      </c>
      <c r="H127" s="30" t="n">
        <v>0</v>
      </c>
      <c r="I127" s="30" t="n">
        <v>0</v>
      </c>
      <c r="J127" s="30" t="n">
        <v>0</v>
      </c>
      <c r="K127" s="30" t="n">
        <v>0</v>
      </c>
      <c r="L127" s="30" t="n">
        <v>0</v>
      </c>
      <c r="O127" s="4" t="s">
        <v>184</v>
      </c>
      <c r="Q127" s="29" t="n">
        <v>75</v>
      </c>
      <c r="R127" s="30" t="n">
        <v>0</v>
      </c>
      <c r="S127" s="30" t="n">
        <v>0</v>
      </c>
      <c r="T127" s="30" t="n">
        <v>0</v>
      </c>
      <c r="U127" s="30" t="n">
        <v>0</v>
      </c>
      <c r="V127" s="30" t="n">
        <v>0</v>
      </c>
      <c r="W127" s="30" t="n">
        <v>0</v>
      </c>
      <c r="X127" s="30" t="n">
        <v>0</v>
      </c>
      <c r="Y127" s="30" t="n">
        <v>0</v>
      </c>
    </row>
    <row r="128" customFormat="false" ht="15" hidden="false" customHeight="false" outlineLevel="0" collapsed="false">
      <c r="B128" s="4" t="s">
        <v>229</v>
      </c>
      <c r="C128" s="31" t="n">
        <f aca="false">MAX(Assumptions!$C$5*Assumptions!$C$12,D126-(D127))</f>
        <v>50</v>
      </c>
      <c r="D128" s="32" t="n">
        <f aca="false">$C128*Assumptions!$C$21</f>
        <v>50</v>
      </c>
      <c r="E128" s="33" t="n">
        <f aca="false">$C128*Assumptions!$D$21</f>
        <v>0</v>
      </c>
      <c r="F128" s="33" t="n">
        <f aca="false">$C128*Assumptions!$E$21</f>
        <v>0</v>
      </c>
      <c r="G128" s="33" t="n">
        <f aca="false">$C128*Assumptions!$F$21</f>
        <v>0</v>
      </c>
      <c r="M128" s="33" t="n">
        <f aca="false">$C128*Assumptions!$G$21</f>
        <v>50</v>
      </c>
      <c r="O128" s="4" t="s">
        <v>230</v>
      </c>
      <c r="P128" s="31" t="n">
        <f aca="false">MAX(Assumptions!$C$5*Assumptions!$C$12,Q126-(Q127))</f>
        <v>50</v>
      </c>
      <c r="Q128" s="32" t="n">
        <f aca="false">$P128*Assumptions!$C$21</f>
        <v>50</v>
      </c>
      <c r="R128" s="33" t="n">
        <f aca="false">$P128*Assumptions!$D$21</f>
        <v>0</v>
      </c>
      <c r="S128" s="33" t="n">
        <f aca="false">$P128*Assumptions!$E$21</f>
        <v>0</v>
      </c>
      <c r="T128" s="33" t="n">
        <f aca="false">$P128*Assumptions!$F$21</f>
        <v>0</v>
      </c>
      <c r="Z128" s="33" t="n">
        <f aca="false">$P128*Assumptions!$G$21</f>
        <v>50</v>
      </c>
    </row>
    <row r="129" customFormat="false" ht="15" hidden="false" customHeight="false" outlineLevel="0" collapsed="false">
      <c r="B129" s="4" t="s">
        <v>231</v>
      </c>
      <c r="C129" s="31" t="n">
        <f aca="false">Assumptions!$C$5</f>
        <v>100</v>
      </c>
      <c r="D129" s="32" t="n">
        <f aca="false">$C129*Assumptions!$C$22</f>
        <v>0</v>
      </c>
      <c r="E129" s="33" t="n">
        <f aca="false">$C129*Assumptions!$D$22</f>
        <v>25</v>
      </c>
      <c r="F129" s="33" t="n">
        <f aca="false">$C129*Assumptions!$E$22</f>
        <v>10</v>
      </c>
      <c r="G129" s="33" t="n">
        <f aca="false">$C129*Assumptions!$F$22</f>
        <v>5</v>
      </c>
      <c r="M129" s="33" t="n">
        <f aca="false">$C129*Assumptions!$G$22</f>
        <v>40</v>
      </c>
      <c r="O129" s="4" t="s">
        <v>232</v>
      </c>
      <c r="P129" s="31" t="n">
        <f aca="false">Assumptions!$C$5*Assumptions!$C$6</f>
        <v>125</v>
      </c>
      <c r="Q129" s="32" t="n">
        <f aca="false">$P129*Assumptions!$C$20</f>
        <v>0</v>
      </c>
      <c r="R129" s="33" t="n">
        <f aca="false">$P129*Assumptions!$D$20</f>
        <v>125</v>
      </c>
      <c r="S129" s="33" t="n">
        <f aca="false">$P129*Assumptions!$E$20</f>
        <v>62.5</v>
      </c>
      <c r="T129" s="33" t="n">
        <f aca="false">$P129*Assumptions!$F$20</f>
        <v>0</v>
      </c>
      <c r="Z129" s="33" t="n">
        <f aca="false">$P129*Assumptions!$G$20</f>
        <v>187.5</v>
      </c>
    </row>
    <row r="130" customFormat="false" ht="15" hidden="false" customHeight="false" outlineLevel="0" collapsed="false">
      <c r="B130" s="4" t="s">
        <v>187</v>
      </c>
      <c r="C130" s="31" t="n">
        <f aca="false">Assumptions!$C$5</f>
        <v>100</v>
      </c>
      <c r="D130" s="34"/>
      <c r="E130" s="33" t="n">
        <f aca="false">$C130*Assumptions!$C$17</f>
        <v>100</v>
      </c>
      <c r="F130" s="33" t="n">
        <f aca="false">$C130*Assumptions!$D$17</f>
        <v>15</v>
      </c>
      <c r="G130" s="33" t="n">
        <f aca="false">$C130*Assumptions!$E$17</f>
        <v>5</v>
      </c>
      <c r="H130" s="33" t="n">
        <f aca="false">$C130*Assumptions!$F$17</f>
        <v>5</v>
      </c>
      <c r="M130" s="33" t="n">
        <f aca="false">$C130*Assumptions!$G$17</f>
        <v>125</v>
      </c>
      <c r="O130" s="4" t="s">
        <v>233</v>
      </c>
      <c r="P130" s="31" t="n">
        <f aca="false">Assumptions!$C$11*Assumptions!$C$5*Assumptions!$C$6</f>
        <v>62.5</v>
      </c>
      <c r="Q130" s="34"/>
      <c r="S130" s="33" t="n">
        <f aca="false">$P130*Assumptions!$C$18</f>
        <v>62.5</v>
      </c>
      <c r="T130" s="33" t="n">
        <f aca="false">$P130*Assumptions!$D$18</f>
        <v>62.5</v>
      </c>
      <c r="U130" s="33" t="n">
        <f aca="false">$P130*Assumptions!$E$18</f>
        <v>0</v>
      </c>
      <c r="V130" s="33" t="n">
        <f aca="false">$P130*Assumptions!$F$18</f>
        <v>0</v>
      </c>
      <c r="Z130" s="33" t="n">
        <f aca="false">$P130*Assumptions!$G$18</f>
        <v>125</v>
      </c>
    </row>
    <row r="131" customFormat="false" ht="15" hidden="false" customHeight="false" outlineLevel="0" collapsed="false">
      <c r="B131" s="4" t="s">
        <v>189</v>
      </c>
      <c r="C131" s="31" t="n">
        <f aca="false">Assumptions!$C$5</f>
        <v>100</v>
      </c>
      <c r="D131" s="34"/>
      <c r="F131" s="33" t="n">
        <f aca="false">$C131*Assumptions!$C$17</f>
        <v>100</v>
      </c>
      <c r="G131" s="33" t="n">
        <f aca="false">$C131*Assumptions!$D$17</f>
        <v>15</v>
      </c>
      <c r="H131" s="33" t="n">
        <f aca="false">$C131*Assumptions!$E$17</f>
        <v>5</v>
      </c>
      <c r="I131" s="33" t="n">
        <f aca="false">$C131*Assumptions!$F$17</f>
        <v>5</v>
      </c>
      <c r="M131" s="33" t="n">
        <f aca="false">$C131*Assumptions!$G$17</f>
        <v>125</v>
      </c>
      <c r="O131" s="4" t="s">
        <v>275</v>
      </c>
      <c r="P131" s="31" t="n">
        <f aca="false">MAX(0,T126-(T127+SUM(T128:T130)))</f>
        <v>87.5</v>
      </c>
      <c r="Q131" s="34"/>
      <c r="T131" s="33" t="n">
        <f aca="false">$P131*Assumptions!$C$18</f>
        <v>87.5</v>
      </c>
      <c r="U131" s="33" t="n">
        <f aca="false">$P131*Assumptions!$D$18</f>
        <v>87.5</v>
      </c>
      <c r="V131" s="33" t="n">
        <f aca="false">$P131*Assumptions!$E$18</f>
        <v>0</v>
      </c>
      <c r="W131" s="33" t="n">
        <f aca="false">$P131*Assumptions!$F$18</f>
        <v>0</v>
      </c>
      <c r="Z131" s="33" t="n">
        <f aca="false">$P131*Assumptions!$G$18</f>
        <v>175</v>
      </c>
    </row>
    <row r="132" customFormat="false" ht="15" hidden="false" customHeight="false" outlineLevel="0" collapsed="false">
      <c r="B132" s="4" t="s">
        <v>274</v>
      </c>
      <c r="C132" s="31" t="n">
        <f aca="false">Assumptions!$C$5*Assumptions!$C$7</f>
        <v>150</v>
      </c>
      <c r="D132" s="34"/>
      <c r="G132" s="33" t="n">
        <f aca="false">$C132*Assumptions!$C$17</f>
        <v>150</v>
      </c>
      <c r="H132" s="33" t="n">
        <f aca="false">$C132*Assumptions!$D$17</f>
        <v>22.5</v>
      </c>
      <c r="I132" s="33" t="n">
        <f aca="false">$C132*Assumptions!$E$17</f>
        <v>7.5</v>
      </c>
      <c r="J132" s="33" t="n">
        <f aca="false">$C132*Assumptions!$F$17</f>
        <v>7.5</v>
      </c>
      <c r="M132" s="33" t="n">
        <f aca="false">$C132*Assumptions!$G$17</f>
        <v>187.5</v>
      </c>
      <c r="O132" s="4" t="s">
        <v>217</v>
      </c>
      <c r="P132" s="31" t="n">
        <f aca="false">Assumptions!$C$11*Assumptions!$C$5*Assumptions!$C$6</f>
        <v>62.5</v>
      </c>
      <c r="Q132" s="34"/>
      <c r="U132" s="33" t="n">
        <f aca="false">$P132*Assumptions!$C$18</f>
        <v>62.5</v>
      </c>
      <c r="V132" s="33" t="n">
        <f aca="false">$P132*Assumptions!$D$18</f>
        <v>62.5</v>
      </c>
      <c r="W132" s="33" t="n">
        <f aca="false">$P132*Assumptions!$E$18</f>
        <v>0</v>
      </c>
      <c r="X132" s="33" t="n">
        <f aca="false">$P132*Assumptions!$F$18</f>
        <v>0</v>
      </c>
      <c r="Z132" s="33" t="n">
        <f aca="false">$P132*Assumptions!$G$18</f>
        <v>125</v>
      </c>
    </row>
    <row r="133" customFormat="false" ht="15" hidden="false" customHeight="false" outlineLevel="0" collapsed="false">
      <c r="B133" s="4" t="s">
        <v>193</v>
      </c>
      <c r="C133" s="31" t="n">
        <f aca="false">Assumptions!$C$5</f>
        <v>100</v>
      </c>
      <c r="D133" s="34"/>
      <c r="H133" s="33" t="n">
        <f aca="false">$C133*Assumptions!$C$17</f>
        <v>100</v>
      </c>
      <c r="I133" s="33" t="n">
        <f aca="false">$C133*Assumptions!$D$17</f>
        <v>15</v>
      </c>
      <c r="J133" s="33" t="n">
        <f aca="false">$C133*Assumptions!$E$17</f>
        <v>5</v>
      </c>
      <c r="K133" s="33" t="n">
        <f aca="false">$C133*Assumptions!$F$17</f>
        <v>5</v>
      </c>
      <c r="M133" s="33" t="n">
        <f aca="false">$C133*Assumptions!$G$17</f>
        <v>125</v>
      </c>
      <c r="O133" s="4" t="s">
        <v>218</v>
      </c>
      <c r="P133" s="31" t="n">
        <f aca="false">Assumptions!$C$11*Assumptions!$C$5*Assumptions!$C$6</f>
        <v>62.5</v>
      </c>
      <c r="Q133" s="34"/>
      <c r="V133" s="33" t="n">
        <f aca="false">$P133*Assumptions!$C$18</f>
        <v>62.5</v>
      </c>
      <c r="W133" s="33" t="n">
        <f aca="false">$P133*Assumptions!$D$18</f>
        <v>62.5</v>
      </c>
      <c r="X133" s="33" t="n">
        <f aca="false">$P133*Assumptions!$E$18</f>
        <v>0</v>
      </c>
      <c r="Y133" s="33" t="n">
        <f aca="false">$P133*Assumptions!$F$18</f>
        <v>0</v>
      </c>
      <c r="Z133" s="33" t="n">
        <f aca="false">$P133*Assumptions!$G$18</f>
        <v>125</v>
      </c>
    </row>
    <row r="134" customFormat="false" ht="15" hidden="false" customHeight="false" outlineLevel="0" collapsed="false">
      <c r="B134" s="4" t="s">
        <v>195</v>
      </c>
      <c r="C134" s="31" t="n">
        <f aca="false">Assumptions!$C$5</f>
        <v>100</v>
      </c>
      <c r="D134" s="34"/>
      <c r="I134" s="33" t="n">
        <f aca="false">$C134*Assumptions!$C$17</f>
        <v>100</v>
      </c>
      <c r="J134" s="33" t="n">
        <f aca="false">$C134*Assumptions!$D$17</f>
        <v>15</v>
      </c>
      <c r="K134" s="33" t="n">
        <f aca="false">$C134*Assumptions!$E$17</f>
        <v>5</v>
      </c>
      <c r="L134" s="33" t="n">
        <f aca="false">$C134*Assumptions!$F$17</f>
        <v>5</v>
      </c>
      <c r="M134" s="33" t="n">
        <f aca="false">$C134*Assumptions!$G$17</f>
        <v>125</v>
      </c>
      <c r="O134" s="4" t="s">
        <v>219</v>
      </c>
      <c r="P134" s="31" t="n">
        <f aca="false">Assumptions!$C$11*Assumptions!$C$5*Assumptions!$C$6</f>
        <v>62.5</v>
      </c>
      <c r="Q134" s="34"/>
      <c r="W134" s="33" t="n">
        <f aca="false">$P134*Assumptions!$C$18</f>
        <v>62.5</v>
      </c>
      <c r="X134" s="33" t="n">
        <f aca="false">$P134*Assumptions!$D$18</f>
        <v>62.5</v>
      </c>
      <c r="Y134" s="33" t="n">
        <f aca="false">$P134*Assumptions!$E$18</f>
        <v>0</v>
      </c>
      <c r="Z134" s="33" t="n">
        <f aca="false">$P134*Assumptions!$G$18</f>
        <v>125</v>
      </c>
    </row>
    <row r="135" customFormat="false" ht="15" hidden="false" customHeight="false" outlineLevel="0" collapsed="false">
      <c r="B135" s="4" t="s">
        <v>197</v>
      </c>
      <c r="C135" s="31" t="n">
        <f aca="false">Assumptions!$C$5</f>
        <v>100</v>
      </c>
      <c r="D135" s="34"/>
      <c r="J135" s="33" t="n">
        <f aca="false">$C135*Assumptions!$C$17</f>
        <v>100</v>
      </c>
      <c r="K135" s="33" t="n">
        <f aca="false">$C135*Assumptions!$D$17</f>
        <v>15</v>
      </c>
      <c r="L135" s="33" t="n">
        <f aca="false">$C135*Assumptions!$E$17</f>
        <v>5</v>
      </c>
      <c r="M135" s="33" t="n">
        <f aca="false">$C135*Assumptions!$G$17</f>
        <v>125</v>
      </c>
      <c r="O135" s="4" t="s">
        <v>220</v>
      </c>
      <c r="P135" s="31" t="n">
        <f aca="false">Assumptions!$C$11*Assumptions!$C$5*Assumptions!$C$6</f>
        <v>62.5</v>
      </c>
      <c r="Q135" s="34"/>
      <c r="X135" s="33" t="n">
        <f aca="false">$P135*Assumptions!$C$18</f>
        <v>62.5</v>
      </c>
      <c r="Y135" s="33" t="n">
        <f aca="false">$P135*Assumptions!$D$18</f>
        <v>62.5</v>
      </c>
      <c r="Z135" s="33" t="n">
        <f aca="false">$P135*Assumptions!$G$18</f>
        <v>125</v>
      </c>
    </row>
    <row r="136" customFormat="false" ht="15" hidden="false" customHeight="false" outlineLevel="0" collapsed="false">
      <c r="B136" s="4" t="s">
        <v>199</v>
      </c>
      <c r="C136" s="31" t="n">
        <f aca="false">Assumptions!$C$5</f>
        <v>100</v>
      </c>
      <c r="D136" s="34"/>
      <c r="K136" s="33" t="n">
        <f aca="false">$C136*Assumptions!$C$17</f>
        <v>100</v>
      </c>
      <c r="L136" s="33" t="n">
        <f aca="false">$C136*Assumptions!$D$17</f>
        <v>15</v>
      </c>
      <c r="M136" s="33" t="n">
        <f aca="false">$C136*Assumptions!$G$17</f>
        <v>125</v>
      </c>
      <c r="O136" s="4" t="s">
        <v>221</v>
      </c>
      <c r="P136" s="31" t="n">
        <f aca="false">Assumptions!$C$11*Assumptions!$C$5*Assumptions!$C$6</f>
        <v>62.5</v>
      </c>
      <c r="Q136" s="34"/>
      <c r="Y136" s="33" t="n">
        <f aca="false">$P136*Assumptions!$C$18</f>
        <v>62.5</v>
      </c>
      <c r="Z136" s="33" t="n">
        <f aca="false">$P136*Assumptions!$G$18</f>
        <v>125</v>
      </c>
    </row>
    <row r="137" customFormat="false" ht="15" hidden="false" customHeight="false" outlineLevel="0" collapsed="false">
      <c r="B137" s="4" t="s">
        <v>201</v>
      </c>
      <c r="C137" s="31" t="n">
        <f aca="false">Assumptions!$C$5</f>
        <v>100</v>
      </c>
      <c r="D137" s="34"/>
      <c r="L137" s="33" t="n">
        <f aca="false">$C137*Assumptions!$C$17</f>
        <v>100</v>
      </c>
      <c r="M137" s="33" t="n">
        <f aca="false">$C137*Assumptions!$G$17</f>
        <v>125</v>
      </c>
      <c r="O137" s="8" t="s">
        <v>203</v>
      </c>
      <c r="P137" s="8" t="s">
        <v>204</v>
      </c>
      <c r="Q137" s="35" t="n">
        <f aca="false">Q127+SUM(Q128:Q136)</f>
        <v>125</v>
      </c>
      <c r="R137" s="13" t="n">
        <f aca="false">R127+SUM(R128:R136)</f>
        <v>125</v>
      </c>
      <c r="S137" s="13" t="n">
        <f aca="false">S127+SUM(S128:S136)</f>
        <v>125</v>
      </c>
      <c r="T137" s="13" t="n">
        <f aca="false">T127+SUM(T128:T136)</f>
        <v>150</v>
      </c>
      <c r="U137" s="13" t="n">
        <f aca="false">U127+SUM(U128:U136)</f>
        <v>150</v>
      </c>
      <c r="V137" s="13" t="n">
        <f aca="false">V127+SUM(V128:V136)</f>
        <v>125</v>
      </c>
      <c r="W137" s="13" t="n">
        <f aca="false">W127+SUM(W128:W136)</f>
        <v>125</v>
      </c>
      <c r="X137" s="13" t="n">
        <f aca="false">X127+SUM(X128:X136)</f>
        <v>125</v>
      </c>
      <c r="Y137" s="13" t="n">
        <f aca="false">Y127+SUM(Y128:Y136)</f>
        <v>125</v>
      </c>
      <c r="Z137" s="13" t="n">
        <f aca="false">SUM(Z128:Z136)</f>
        <v>1162.5</v>
      </c>
    </row>
    <row r="138" customFormat="false" ht="15" hidden="false" customHeight="false" outlineLevel="0" collapsed="false">
      <c r="B138" s="8" t="s">
        <v>203</v>
      </c>
      <c r="C138" s="8" t="s">
        <v>204</v>
      </c>
      <c r="D138" s="35" t="n">
        <f aca="false">D127+SUM(D128:D137)</f>
        <v>125</v>
      </c>
      <c r="E138" s="13" t="n">
        <f aca="false">E127+SUM(E128:E137)</f>
        <v>125</v>
      </c>
      <c r="F138" s="13" t="n">
        <f aca="false">F127+SUM(F128:F137)</f>
        <v>125</v>
      </c>
      <c r="G138" s="13" t="n">
        <f aca="false">G127+SUM(G128:G137)</f>
        <v>175</v>
      </c>
      <c r="H138" s="13" t="n">
        <f aca="false">H127+SUM(H128:H137)</f>
        <v>132.5</v>
      </c>
      <c r="I138" s="13" t="n">
        <f aca="false">I127+SUM(I128:I137)</f>
        <v>127.5</v>
      </c>
      <c r="J138" s="13" t="n">
        <f aca="false">J127+SUM(J128:J137)</f>
        <v>127.5</v>
      </c>
      <c r="K138" s="13" t="n">
        <f aca="false">K127+SUM(K128:K137)</f>
        <v>125</v>
      </c>
      <c r="L138" s="13" t="n">
        <f aca="false">L127+SUM(L128:L137)</f>
        <v>125</v>
      </c>
      <c r="M138" s="13" t="n">
        <f aca="false">SUM(M128:M137)</f>
        <v>1152.5</v>
      </c>
      <c r="O138" s="2" t="s">
        <v>205</v>
      </c>
      <c r="Q138" s="36" t="n">
        <f aca="false">Q137/Q126</f>
        <v>1</v>
      </c>
      <c r="R138" s="37" t="n">
        <f aca="false">R137/R126</f>
        <v>1</v>
      </c>
      <c r="S138" s="37" t="n">
        <f aca="false">S137/S126</f>
        <v>1</v>
      </c>
      <c r="T138" s="37" t="n">
        <f aca="false">T137/T126</f>
        <v>1</v>
      </c>
      <c r="U138" s="37" t="n">
        <f aca="false">U137/U126</f>
        <v>1.2</v>
      </c>
      <c r="V138" s="37" t="n">
        <f aca="false">V137/V126</f>
        <v>1</v>
      </c>
      <c r="W138" s="37" t="n">
        <f aca="false">W137/W126</f>
        <v>1</v>
      </c>
      <c r="X138" s="37" t="n">
        <f aca="false">X137/X126</f>
        <v>1</v>
      </c>
      <c r="Y138" s="37" t="n">
        <f aca="false">Y137/Y126</f>
        <v>1</v>
      </c>
    </row>
    <row r="139" customFormat="false" ht="15" hidden="false" customHeight="false" outlineLevel="0" collapsed="false">
      <c r="B139" s="2" t="s">
        <v>205</v>
      </c>
      <c r="D139" s="36" t="n">
        <f aca="false">D138/D126</f>
        <v>1</v>
      </c>
      <c r="E139" s="37" t="n">
        <f aca="false">E138/E126</f>
        <v>1</v>
      </c>
      <c r="F139" s="37" t="n">
        <f aca="false">F138/F126</f>
        <v>1</v>
      </c>
      <c r="G139" s="37" t="n">
        <f aca="false">G138/G126</f>
        <v>1.16666666666667</v>
      </c>
      <c r="H139" s="37" t="n">
        <f aca="false">H138/H126</f>
        <v>1.06</v>
      </c>
      <c r="I139" s="37" t="n">
        <f aca="false">I138/I126</f>
        <v>1.02</v>
      </c>
      <c r="J139" s="37" t="n">
        <f aca="false">J138/J126</f>
        <v>1.02</v>
      </c>
      <c r="K139" s="37" t="n">
        <f aca="false">K138/K126</f>
        <v>1</v>
      </c>
      <c r="L139" s="37" t="n">
        <f aca="false">L138/L126</f>
        <v>1</v>
      </c>
      <c r="O139" s="2" t="s">
        <v>206</v>
      </c>
      <c r="Q139" s="38" t="n">
        <f aca="false">Q137-Assumptions!$C$5</f>
        <v>25</v>
      </c>
      <c r="R139" s="39" t="n">
        <f aca="false">R137-Q137</f>
        <v>0</v>
      </c>
      <c r="S139" s="39" t="n">
        <f aca="false">S137-R137</f>
        <v>0</v>
      </c>
      <c r="T139" s="39" t="n">
        <f aca="false">T137-S137</f>
        <v>25</v>
      </c>
      <c r="U139" s="39" t="n">
        <f aca="false">U137-T137</f>
        <v>0</v>
      </c>
      <c r="V139" s="39" t="n">
        <f aca="false">V137-U137</f>
        <v>-25</v>
      </c>
      <c r="W139" s="39" t="n">
        <f aca="false">W137-V137</f>
        <v>0</v>
      </c>
      <c r="X139" s="39" t="n">
        <f aca="false">X137-W137</f>
        <v>0</v>
      </c>
      <c r="Y139" s="39" t="n">
        <f aca="false">Y137-X137</f>
        <v>0</v>
      </c>
    </row>
    <row r="140" customFormat="false" ht="15" hidden="false" customHeight="false" outlineLevel="0" collapsed="false">
      <c r="B140" s="2" t="s">
        <v>206</v>
      </c>
      <c r="D140" s="38" t="n">
        <f aca="false">D138-Assumptions!$C$5</f>
        <v>25</v>
      </c>
      <c r="E140" s="39" t="n">
        <f aca="false">E138-D138</f>
        <v>0</v>
      </c>
      <c r="F140" s="39" t="n">
        <f aca="false">F138-E138</f>
        <v>0</v>
      </c>
      <c r="G140" s="39" t="n">
        <f aca="false">G138-F138</f>
        <v>50</v>
      </c>
      <c r="H140" s="39" t="n">
        <f aca="false">H138-G138</f>
        <v>-42.5</v>
      </c>
      <c r="I140" s="39" t="n">
        <f aca="false">I138-H138</f>
        <v>-5</v>
      </c>
      <c r="J140" s="39" t="n">
        <f aca="false">J138-I138</f>
        <v>0</v>
      </c>
      <c r="K140" s="39" t="n">
        <f aca="false">K138-J138</f>
        <v>-2.5</v>
      </c>
      <c r="L140" s="39" t="n">
        <f aca="false">L138-K138</f>
        <v>0</v>
      </c>
      <c r="Q140" s="34"/>
    </row>
    <row r="141" customFormat="false" ht="15" hidden="false" customHeight="false" outlineLevel="0" collapsed="false">
      <c r="D141" s="34"/>
    </row>
    <row r="144" customFormat="false" ht="15" hidden="false" customHeight="false" outlineLevel="0" collapsed="false">
      <c r="B144" s="3" t="s">
        <v>236</v>
      </c>
    </row>
    <row r="145" customFormat="false" ht="15" hidden="false" customHeight="false" outlineLevel="0" collapsed="false">
      <c r="B145" s="5" t="s">
        <v>180</v>
      </c>
      <c r="C145" s="7" t="s">
        <v>181</v>
      </c>
      <c r="D145" s="7" t="s">
        <v>91</v>
      </c>
      <c r="E145" s="7" t="s">
        <v>92</v>
      </c>
      <c r="F145" s="7" t="s">
        <v>93</v>
      </c>
      <c r="G145" s="7" t="s">
        <v>94</v>
      </c>
      <c r="H145" s="7" t="s">
        <v>95</v>
      </c>
      <c r="I145" s="7" t="s">
        <v>96</v>
      </c>
      <c r="J145" s="7" t="s">
        <v>97</v>
      </c>
      <c r="K145" s="7" t="s">
        <v>98</v>
      </c>
      <c r="L145" s="7" t="s">
        <v>99</v>
      </c>
      <c r="M145" s="7" t="s">
        <v>100</v>
      </c>
      <c r="O145" s="25" t="s">
        <v>182</v>
      </c>
      <c r="P145" s="26" t="s">
        <v>181</v>
      </c>
      <c r="Q145" s="26" t="s">
        <v>91</v>
      </c>
      <c r="R145" s="26" t="s">
        <v>92</v>
      </c>
      <c r="S145" s="26" t="s">
        <v>93</v>
      </c>
      <c r="T145" s="26" t="s">
        <v>94</v>
      </c>
      <c r="U145" s="26" t="s">
        <v>95</v>
      </c>
      <c r="V145" s="26" t="s">
        <v>96</v>
      </c>
      <c r="W145" s="26" t="s">
        <v>97</v>
      </c>
      <c r="X145" s="26" t="s">
        <v>98</v>
      </c>
      <c r="Y145" s="26" t="s">
        <v>99</v>
      </c>
      <c r="Z145" s="26" t="s">
        <v>100</v>
      </c>
    </row>
    <row r="146" customFormat="false" ht="15" hidden="false" customHeight="false" outlineLevel="0" collapsed="false">
      <c r="B146" s="2" t="s">
        <v>183</v>
      </c>
      <c r="D146" s="28" t="n">
        <f aca="false">Assumptions!$C$5*Assumptions!$C$6</f>
        <v>125</v>
      </c>
      <c r="E146" s="27" t="n">
        <f aca="false">Assumptions!$C$5*Assumptions!$C$6</f>
        <v>125</v>
      </c>
      <c r="F146" s="28" t="n">
        <f aca="false">Assumptions!$C$5*Assumptions!$C$6</f>
        <v>125</v>
      </c>
      <c r="G146" s="28" t="n">
        <f aca="false">Assumptions!$C$5*Assumptions!$C$7</f>
        <v>150</v>
      </c>
      <c r="H146" s="28" t="n">
        <f aca="false">Assumptions!$C$5*Assumptions!$C$6</f>
        <v>125</v>
      </c>
      <c r="I146" s="28" t="n">
        <f aca="false">Assumptions!$C$5*Assumptions!$C$6</f>
        <v>125</v>
      </c>
      <c r="J146" s="28" t="n">
        <f aca="false">Assumptions!$C$5*Assumptions!$C$6</f>
        <v>125</v>
      </c>
      <c r="K146" s="28" t="n">
        <f aca="false">Assumptions!$C$5*Assumptions!$C$6</f>
        <v>125</v>
      </c>
      <c r="L146" s="28" t="n">
        <f aca="false">Assumptions!$C$5*Assumptions!$C$6</f>
        <v>125</v>
      </c>
      <c r="O146" s="2" t="s">
        <v>183</v>
      </c>
      <c r="Q146" s="28" t="n">
        <f aca="false">Assumptions!$C$5*Assumptions!$C$6</f>
        <v>125</v>
      </c>
      <c r="R146" s="27" t="n">
        <f aca="false">Assumptions!$C$5*Assumptions!$C$6</f>
        <v>125</v>
      </c>
      <c r="S146" s="28" t="n">
        <f aca="false">Assumptions!$C$5*Assumptions!$C$6</f>
        <v>125</v>
      </c>
      <c r="T146" s="28" t="n">
        <f aca="false">Assumptions!$C$5*Assumptions!$C$7</f>
        <v>150</v>
      </c>
      <c r="U146" s="28" t="n">
        <f aca="false">Assumptions!$C$5*Assumptions!$C$6</f>
        <v>125</v>
      </c>
      <c r="V146" s="28" t="n">
        <f aca="false">Assumptions!$C$5*Assumptions!$C$6</f>
        <v>125</v>
      </c>
      <c r="W146" s="28" t="n">
        <f aca="false">Assumptions!$C$5*Assumptions!$C$6</f>
        <v>125</v>
      </c>
      <c r="X146" s="28" t="n">
        <f aca="false">Assumptions!$C$5*Assumptions!$C$6</f>
        <v>125</v>
      </c>
      <c r="Y146" s="28" t="n">
        <f aca="false">Assumptions!$C$5*Assumptions!$C$6</f>
        <v>125</v>
      </c>
    </row>
    <row r="147" customFormat="false" ht="15" hidden="false" customHeight="false" outlineLevel="0" collapsed="false">
      <c r="B147" s="4" t="s">
        <v>184</v>
      </c>
      <c r="D147" s="30" t="n">
        <v>150</v>
      </c>
      <c r="E147" s="29" t="n">
        <v>125</v>
      </c>
      <c r="F147" s="30" t="n">
        <v>0</v>
      </c>
      <c r="G147" s="30" t="n">
        <v>0</v>
      </c>
      <c r="H147" s="30" t="n">
        <v>0</v>
      </c>
      <c r="I147" s="30" t="n">
        <v>0</v>
      </c>
      <c r="J147" s="30" t="n">
        <v>0</v>
      </c>
      <c r="K147" s="30" t="n">
        <v>0</v>
      </c>
      <c r="L147" s="30" t="n">
        <v>0</v>
      </c>
      <c r="O147" s="4" t="s">
        <v>184</v>
      </c>
      <c r="Q147" s="30" t="n">
        <v>150</v>
      </c>
      <c r="R147" s="29" t="n">
        <v>125</v>
      </c>
      <c r="S147" s="30" t="n">
        <v>0</v>
      </c>
      <c r="T147" s="30" t="n">
        <v>0</v>
      </c>
      <c r="U147" s="30" t="n">
        <v>0</v>
      </c>
      <c r="V147" s="30" t="n">
        <v>0</v>
      </c>
      <c r="W147" s="30" t="n">
        <v>0</v>
      </c>
      <c r="X147" s="30" t="n">
        <v>0</v>
      </c>
      <c r="Y147" s="30" t="n">
        <v>0</v>
      </c>
    </row>
    <row r="148" customFormat="false" ht="15" hidden="false" customHeight="false" outlineLevel="0" collapsed="false">
      <c r="B148" s="4" t="s">
        <v>208</v>
      </c>
      <c r="C148" s="31" t="n">
        <f aca="false">MAX(Assumptions!$C$5*Assumptions!$C$12,D146-(D147))</f>
        <v>25</v>
      </c>
      <c r="D148" s="33" t="n">
        <f aca="false">$C148*Assumptions!$C$23</f>
        <v>25</v>
      </c>
      <c r="E148" s="32" t="n">
        <f aca="false">$C148*Assumptions!$D$23</f>
        <v>3.75</v>
      </c>
      <c r="F148" s="33" t="n">
        <f aca="false">$C148*Assumptions!$E$23</f>
        <v>1.25</v>
      </c>
      <c r="G148" s="33" t="n">
        <f aca="false">$C148*Assumptions!$F$23</f>
        <v>1.25</v>
      </c>
      <c r="M148" s="33" t="n">
        <f aca="false">$C148*Assumptions!$G$23</f>
        <v>31.25</v>
      </c>
      <c r="O148" s="4" t="s">
        <v>209</v>
      </c>
      <c r="P148" s="31" t="n">
        <f aca="false">MAX(Assumptions!$C$5*Assumptions!$C$12,Q146-(Q147))</f>
        <v>25</v>
      </c>
      <c r="Q148" s="33" t="n">
        <f aca="false">$P148*Assumptions!$C$21</f>
        <v>25</v>
      </c>
      <c r="R148" s="32" t="n">
        <f aca="false">$P148*Assumptions!$D$21</f>
        <v>0</v>
      </c>
      <c r="S148" s="33" t="n">
        <f aca="false">$P148*Assumptions!$E$21</f>
        <v>0</v>
      </c>
      <c r="T148" s="33" t="n">
        <f aca="false">$P148*Assumptions!$F$21</f>
        <v>0</v>
      </c>
      <c r="Z148" s="33" t="n">
        <f aca="false">$P148*Assumptions!$G$21</f>
        <v>25</v>
      </c>
    </row>
    <row r="149" customFormat="false" ht="15" hidden="false" customHeight="false" outlineLevel="0" collapsed="false">
      <c r="B149" s="4" t="s">
        <v>237</v>
      </c>
      <c r="C149" s="31" t="n">
        <f aca="false">MAX(Assumptions!$C$5*Assumptions!$C$12,E146-(E147))</f>
        <v>25</v>
      </c>
      <c r="E149" s="32" t="n">
        <f aca="false">$C149*Assumptions!$C$21</f>
        <v>25</v>
      </c>
      <c r="F149" s="33" t="n">
        <f aca="false">$C149*Assumptions!$D$21</f>
        <v>0</v>
      </c>
      <c r="G149" s="33" t="n">
        <f aca="false">$C149*Assumptions!$E$21</f>
        <v>0</v>
      </c>
      <c r="H149" s="33" t="n">
        <f aca="false">$C149*Assumptions!$F$21</f>
        <v>0</v>
      </c>
      <c r="M149" s="33" t="n">
        <f aca="false">$C149*Assumptions!$G$21</f>
        <v>25</v>
      </c>
      <c r="O149" s="4" t="s">
        <v>238</v>
      </c>
      <c r="P149" s="31" t="n">
        <f aca="false">MAX(Assumptions!$C$5*Assumptions!$C$12,R146-(R147))</f>
        <v>25</v>
      </c>
      <c r="R149" s="32" t="n">
        <f aca="false">$P149*Assumptions!$C$21</f>
        <v>25</v>
      </c>
      <c r="S149" s="33" t="n">
        <f aca="false">$P149*Assumptions!$D$21</f>
        <v>0</v>
      </c>
      <c r="T149" s="33" t="n">
        <f aca="false">$P149*Assumptions!$E$21</f>
        <v>0</v>
      </c>
      <c r="U149" s="33" t="n">
        <f aca="false">$P149*Assumptions!$F$21</f>
        <v>0</v>
      </c>
      <c r="Z149" s="33" t="n">
        <f aca="false">$P149*Assumptions!$G$21</f>
        <v>25</v>
      </c>
    </row>
    <row r="150" customFormat="false" ht="15" hidden="false" customHeight="false" outlineLevel="0" collapsed="false">
      <c r="B150" s="4" t="s">
        <v>239</v>
      </c>
      <c r="C150" s="31" t="n">
        <f aca="false">Assumptions!$C$5</f>
        <v>100</v>
      </c>
      <c r="E150" s="32" t="n">
        <f aca="false">$C150*Assumptions!$C$22</f>
        <v>0</v>
      </c>
      <c r="F150" s="33" t="n">
        <f aca="false">$C150*Assumptions!$D$22</f>
        <v>25</v>
      </c>
      <c r="G150" s="33" t="n">
        <f aca="false">$C150*Assumptions!$E$22</f>
        <v>10</v>
      </c>
      <c r="H150" s="33" t="n">
        <f aca="false">$C150*Assumptions!$F$22</f>
        <v>5</v>
      </c>
      <c r="M150" s="33" t="n">
        <f aca="false">$C150*Assumptions!$G$22</f>
        <v>40</v>
      </c>
      <c r="O150" s="4" t="s">
        <v>240</v>
      </c>
      <c r="P150" s="31" t="n">
        <f aca="false">Assumptions!$C$5*Assumptions!$C$6</f>
        <v>125</v>
      </c>
      <c r="R150" s="32" t="n">
        <f aca="false">$P150*Assumptions!$C$20</f>
        <v>0</v>
      </c>
      <c r="S150" s="33" t="n">
        <f aca="false">$P150*Assumptions!$D$20</f>
        <v>125</v>
      </c>
      <c r="T150" s="33" t="n">
        <f aca="false">$P150*Assumptions!$E$20</f>
        <v>62.5</v>
      </c>
      <c r="U150" s="33" t="n">
        <f aca="false">$P150*Assumptions!$F$20</f>
        <v>0</v>
      </c>
      <c r="Z150" s="33" t="n">
        <f aca="false">$P150*Assumptions!$G$20</f>
        <v>187.5</v>
      </c>
    </row>
    <row r="151" customFormat="false" ht="15" hidden="false" customHeight="false" outlineLevel="0" collapsed="false">
      <c r="B151" s="4" t="s">
        <v>189</v>
      </c>
      <c r="C151" s="31" t="n">
        <f aca="false">Assumptions!$C$5</f>
        <v>100</v>
      </c>
      <c r="E151" s="34"/>
      <c r="F151" s="33" t="n">
        <f aca="false">$C151*Assumptions!$C$17</f>
        <v>100</v>
      </c>
      <c r="G151" s="33" t="n">
        <f aca="false">$C151*Assumptions!$D$17</f>
        <v>15</v>
      </c>
      <c r="H151" s="33" t="n">
        <f aca="false">$C151*Assumptions!$E$17</f>
        <v>5</v>
      </c>
      <c r="I151" s="33" t="n">
        <f aca="false">$C151*Assumptions!$F$17</f>
        <v>5</v>
      </c>
      <c r="M151" s="33" t="n">
        <f aca="false">$C151*Assumptions!$G$17</f>
        <v>125</v>
      </c>
      <c r="O151" s="4" t="s">
        <v>275</v>
      </c>
      <c r="P151" s="31" t="n">
        <f aca="false">MAX(0,T146-(T147+SUM(T148:T150)))</f>
        <v>87.5</v>
      </c>
      <c r="R151" s="34"/>
      <c r="T151" s="33" t="n">
        <f aca="false">$P151*Assumptions!$C$18</f>
        <v>87.5</v>
      </c>
      <c r="U151" s="33" t="n">
        <f aca="false">$P151*Assumptions!$D$18</f>
        <v>87.5</v>
      </c>
      <c r="V151" s="33" t="n">
        <f aca="false">$P151*Assumptions!$E$18</f>
        <v>0</v>
      </c>
      <c r="W151" s="33" t="n">
        <f aca="false">$P151*Assumptions!$F$18</f>
        <v>0</v>
      </c>
      <c r="Z151" s="33" t="n">
        <f aca="false">$P151*Assumptions!$G$18</f>
        <v>175</v>
      </c>
    </row>
    <row r="152" customFormat="false" ht="15" hidden="false" customHeight="false" outlineLevel="0" collapsed="false">
      <c r="B152" s="4" t="s">
        <v>274</v>
      </c>
      <c r="C152" s="31" t="n">
        <f aca="false">Assumptions!$C$5*Assumptions!$C$7</f>
        <v>150</v>
      </c>
      <c r="E152" s="34"/>
      <c r="G152" s="33" t="n">
        <f aca="false">$C152*Assumptions!$C$17</f>
        <v>150</v>
      </c>
      <c r="H152" s="33" t="n">
        <f aca="false">$C152*Assumptions!$D$17</f>
        <v>22.5</v>
      </c>
      <c r="I152" s="33" t="n">
        <f aca="false">$C152*Assumptions!$E$17</f>
        <v>7.5</v>
      </c>
      <c r="J152" s="33" t="n">
        <f aca="false">$C152*Assumptions!$F$17</f>
        <v>7.5</v>
      </c>
      <c r="M152" s="33" t="n">
        <f aca="false">$C152*Assumptions!$G$17</f>
        <v>187.5</v>
      </c>
      <c r="O152" s="4" t="s">
        <v>217</v>
      </c>
      <c r="P152" s="31" t="n">
        <f aca="false">Assumptions!$C$11*Assumptions!$C$5*Assumptions!$C$6</f>
        <v>62.5</v>
      </c>
      <c r="R152" s="34"/>
      <c r="U152" s="33" t="n">
        <f aca="false">$P152*Assumptions!$C$18</f>
        <v>62.5</v>
      </c>
      <c r="V152" s="33" t="n">
        <f aca="false">$P152*Assumptions!$D$18</f>
        <v>62.5</v>
      </c>
      <c r="W152" s="33" t="n">
        <f aca="false">$P152*Assumptions!$E$18</f>
        <v>0</v>
      </c>
      <c r="X152" s="33" t="n">
        <f aca="false">$P152*Assumptions!$F$18</f>
        <v>0</v>
      </c>
      <c r="Z152" s="33" t="n">
        <f aca="false">$P152*Assumptions!$G$18</f>
        <v>125</v>
      </c>
    </row>
    <row r="153" customFormat="false" ht="15" hidden="false" customHeight="false" outlineLevel="0" collapsed="false">
      <c r="B153" s="4" t="s">
        <v>193</v>
      </c>
      <c r="C153" s="31" t="n">
        <f aca="false">Assumptions!$C$5</f>
        <v>100</v>
      </c>
      <c r="E153" s="34"/>
      <c r="H153" s="33" t="n">
        <f aca="false">$C153*Assumptions!$C$17</f>
        <v>100</v>
      </c>
      <c r="I153" s="33" t="n">
        <f aca="false">$C153*Assumptions!$D$17</f>
        <v>15</v>
      </c>
      <c r="J153" s="33" t="n">
        <f aca="false">$C153*Assumptions!$E$17</f>
        <v>5</v>
      </c>
      <c r="K153" s="33" t="n">
        <f aca="false">$C153*Assumptions!$F$17</f>
        <v>5</v>
      </c>
      <c r="M153" s="33" t="n">
        <f aca="false">$C153*Assumptions!$G$17</f>
        <v>125</v>
      </c>
      <c r="O153" s="4" t="s">
        <v>218</v>
      </c>
      <c r="P153" s="31" t="n">
        <f aca="false">Assumptions!$C$11*Assumptions!$C$5*Assumptions!$C$6</f>
        <v>62.5</v>
      </c>
      <c r="R153" s="34"/>
      <c r="V153" s="33" t="n">
        <f aca="false">$P153*Assumptions!$C$18</f>
        <v>62.5</v>
      </c>
      <c r="W153" s="33" t="n">
        <f aca="false">$P153*Assumptions!$D$18</f>
        <v>62.5</v>
      </c>
      <c r="X153" s="33" t="n">
        <f aca="false">$P153*Assumptions!$E$18</f>
        <v>0</v>
      </c>
      <c r="Y153" s="33" t="n">
        <f aca="false">$P153*Assumptions!$F$18</f>
        <v>0</v>
      </c>
      <c r="Z153" s="33" t="n">
        <f aca="false">$P153*Assumptions!$G$18</f>
        <v>125</v>
      </c>
    </row>
    <row r="154" customFormat="false" ht="15" hidden="false" customHeight="false" outlineLevel="0" collapsed="false">
      <c r="B154" s="4" t="s">
        <v>195</v>
      </c>
      <c r="C154" s="31" t="n">
        <f aca="false">Assumptions!$C$5</f>
        <v>100</v>
      </c>
      <c r="E154" s="34"/>
      <c r="I154" s="33" t="n">
        <f aca="false">$C154*Assumptions!$C$17</f>
        <v>100</v>
      </c>
      <c r="J154" s="33" t="n">
        <f aca="false">$C154*Assumptions!$D$17</f>
        <v>15</v>
      </c>
      <c r="K154" s="33" t="n">
        <f aca="false">$C154*Assumptions!$E$17</f>
        <v>5</v>
      </c>
      <c r="L154" s="33" t="n">
        <f aca="false">$C154*Assumptions!$F$17</f>
        <v>5</v>
      </c>
      <c r="M154" s="33" t="n">
        <f aca="false">$C154*Assumptions!$G$17</f>
        <v>125</v>
      </c>
      <c r="O154" s="4" t="s">
        <v>219</v>
      </c>
      <c r="P154" s="31" t="n">
        <f aca="false">Assumptions!$C$11*Assumptions!$C$5*Assumptions!$C$6</f>
        <v>62.5</v>
      </c>
      <c r="R154" s="34"/>
      <c r="W154" s="33" t="n">
        <f aca="false">$P154*Assumptions!$C$18</f>
        <v>62.5</v>
      </c>
      <c r="X154" s="33" t="n">
        <f aca="false">$P154*Assumptions!$D$18</f>
        <v>62.5</v>
      </c>
      <c r="Y154" s="33" t="n">
        <f aca="false">$P154*Assumptions!$E$18</f>
        <v>0</v>
      </c>
      <c r="Z154" s="33" t="n">
        <f aca="false">$P154*Assumptions!$G$18</f>
        <v>125</v>
      </c>
    </row>
    <row r="155" customFormat="false" ht="15" hidden="false" customHeight="false" outlineLevel="0" collapsed="false">
      <c r="B155" s="4" t="s">
        <v>197</v>
      </c>
      <c r="C155" s="31" t="n">
        <f aca="false">Assumptions!$C$5</f>
        <v>100</v>
      </c>
      <c r="E155" s="34"/>
      <c r="J155" s="33" t="n">
        <f aca="false">$C155*Assumptions!$C$17</f>
        <v>100</v>
      </c>
      <c r="K155" s="33" t="n">
        <f aca="false">$C155*Assumptions!$D$17</f>
        <v>15</v>
      </c>
      <c r="L155" s="33" t="n">
        <f aca="false">$C155*Assumptions!$E$17</f>
        <v>5</v>
      </c>
      <c r="M155" s="33" t="n">
        <f aca="false">$C155*Assumptions!$G$17</f>
        <v>125</v>
      </c>
      <c r="O155" s="4" t="s">
        <v>220</v>
      </c>
      <c r="P155" s="31" t="n">
        <f aca="false">Assumptions!$C$11*Assumptions!$C$5*Assumptions!$C$6</f>
        <v>62.5</v>
      </c>
      <c r="R155" s="34"/>
      <c r="X155" s="33" t="n">
        <f aca="false">$P155*Assumptions!$C$18</f>
        <v>62.5</v>
      </c>
      <c r="Y155" s="33" t="n">
        <f aca="false">$P155*Assumptions!$D$18</f>
        <v>62.5</v>
      </c>
      <c r="Z155" s="33" t="n">
        <f aca="false">$P155*Assumptions!$G$18</f>
        <v>125</v>
      </c>
    </row>
    <row r="156" customFormat="false" ht="15" hidden="false" customHeight="false" outlineLevel="0" collapsed="false">
      <c r="B156" s="4" t="s">
        <v>199</v>
      </c>
      <c r="C156" s="31" t="n">
        <f aca="false">Assumptions!$C$5</f>
        <v>100</v>
      </c>
      <c r="E156" s="34"/>
      <c r="K156" s="33" t="n">
        <f aca="false">$C156*Assumptions!$C$17</f>
        <v>100</v>
      </c>
      <c r="L156" s="33" t="n">
        <f aca="false">$C156*Assumptions!$D$17</f>
        <v>15</v>
      </c>
      <c r="M156" s="33" t="n">
        <f aca="false">$C156*Assumptions!$G$17</f>
        <v>125</v>
      </c>
      <c r="O156" s="4" t="s">
        <v>221</v>
      </c>
      <c r="P156" s="31" t="n">
        <f aca="false">Assumptions!$C$11*Assumptions!$C$5*Assumptions!$C$6</f>
        <v>62.5</v>
      </c>
      <c r="R156" s="34"/>
      <c r="Y156" s="33" t="n">
        <f aca="false">$P156*Assumptions!$C$18</f>
        <v>62.5</v>
      </c>
      <c r="Z156" s="33" t="n">
        <f aca="false">$P156*Assumptions!$G$18</f>
        <v>125</v>
      </c>
    </row>
    <row r="157" customFormat="false" ht="15" hidden="false" customHeight="false" outlineLevel="0" collapsed="false">
      <c r="B157" s="4" t="s">
        <v>201</v>
      </c>
      <c r="C157" s="31" t="n">
        <f aca="false">Assumptions!$C$5</f>
        <v>100</v>
      </c>
      <c r="E157" s="34"/>
      <c r="L157" s="33" t="n">
        <f aca="false">$C157*Assumptions!$C$17</f>
        <v>100</v>
      </c>
      <c r="M157" s="33" t="n">
        <f aca="false">$C157*Assumptions!$G$17</f>
        <v>125</v>
      </c>
      <c r="O157" s="8" t="s">
        <v>203</v>
      </c>
      <c r="P157" s="8" t="s">
        <v>204</v>
      </c>
      <c r="Q157" s="13" t="n">
        <f aca="false">Q147+SUM(Q148:Q156)</f>
        <v>175</v>
      </c>
      <c r="R157" s="35" t="n">
        <f aca="false">R147+SUM(R148:R156)</f>
        <v>150</v>
      </c>
      <c r="S157" s="13" t="n">
        <f aca="false">S147+SUM(S148:S156)</f>
        <v>125</v>
      </c>
      <c r="T157" s="13" t="n">
        <f aca="false">T147+SUM(T148:T156)</f>
        <v>150</v>
      </c>
      <c r="U157" s="13" t="n">
        <f aca="false">U147+SUM(U148:U156)</f>
        <v>150</v>
      </c>
      <c r="V157" s="13" t="n">
        <f aca="false">V147+SUM(V148:V156)</f>
        <v>125</v>
      </c>
      <c r="W157" s="13" t="n">
        <f aca="false">W147+SUM(W148:W156)</f>
        <v>125</v>
      </c>
      <c r="X157" s="13" t="n">
        <f aca="false">X147+SUM(X148:X156)</f>
        <v>125</v>
      </c>
      <c r="Y157" s="13" t="n">
        <f aca="false">Y147+SUM(Y148:Y156)</f>
        <v>125</v>
      </c>
      <c r="Z157" s="13" t="n">
        <f aca="false">SUM(Z148:Z156)</f>
        <v>1037.5</v>
      </c>
    </row>
    <row r="158" customFormat="false" ht="15" hidden="false" customHeight="false" outlineLevel="0" collapsed="false">
      <c r="B158" s="8" t="s">
        <v>203</v>
      </c>
      <c r="C158" s="8" t="s">
        <v>204</v>
      </c>
      <c r="D158" s="13" t="n">
        <f aca="false">D147+SUM(D148:D157)</f>
        <v>175</v>
      </c>
      <c r="E158" s="35" t="n">
        <f aca="false">E147+SUM(E148:E157)</f>
        <v>153.75</v>
      </c>
      <c r="F158" s="13" t="n">
        <f aca="false">F147+SUM(F148:F157)</f>
        <v>126.25</v>
      </c>
      <c r="G158" s="13" t="n">
        <f aca="false">G147+SUM(G148:G157)</f>
        <v>176.25</v>
      </c>
      <c r="H158" s="13" t="n">
        <f aca="false">H147+SUM(H148:H157)</f>
        <v>132.5</v>
      </c>
      <c r="I158" s="13" t="n">
        <f aca="false">I147+SUM(I148:I157)</f>
        <v>127.5</v>
      </c>
      <c r="J158" s="13" t="n">
        <f aca="false">J147+SUM(J148:J157)</f>
        <v>127.5</v>
      </c>
      <c r="K158" s="13" t="n">
        <f aca="false">K147+SUM(K148:K157)</f>
        <v>125</v>
      </c>
      <c r="L158" s="13" t="n">
        <f aca="false">L147+SUM(L148:L157)</f>
        <v>125</v>
      </c>
      <c r="M158" s="13" t="n">
        <f aca="false">SUM(M148:M157)</f>
        <v>1033.75</v>
      </c>
      <c r="O158" s="2" t="s">
        <v>205</v>
      </c>
      <c r="Q158" s="37" t="n">
        <f aca="false">Q157/Q146</f>
        <v>1.4</v>
      </c>
      <c r="R158" s="36" t="n">
        <f aca="false">R157/R146</f>
        <v>1.2</v>
      </c>
      <c r="S158" s="37" t="n">
        <f aca="false">S157/S146</f>
        <v>1</v>
      </c>
      <c r="T158" s="37" t="n">
        <f aca="false">T157/T146</f>
        <v>1</v>
      </c>
      <c r="U158" s="37" t="n">
        <f aca="false">U157/U146</f>
        <v>1.2</v>
      </c>
      <c r="V158" s="37" t="n">
        <f aca="false">V157/V146</f>
        <v>1</v>
      </c>
      <c r="W158" s="37" t="n">
        <f aca="false">W157/W146</f>
        <v>1</v>
      </c>
      <c r="X158" s="37" t="n">
        <f aca="false">X157/X146</f>
        <v>1</v>
      </c>
      <c r="Y158" s="37" t="n">
        <f aca="false">Y157/Y146</f>
        <v>1</v>
      </c>
    </row>
    <row r="159" customFormat="false" ht="15" hidden="false" customHeight="false" outlineLevel="0" collapsed="false">
      <c r="B159" s="2" t="s">
        <v>205</v>
      </c>
      <c r="D159" s="37" t="n">
        <f aca="false">D158/D146</f>
        <v>1.4</v>
      </c>
      <c r="E159" s="36" t="n">
        <f aca="false">E158/E146</f>
        <v>1.23</v>
      </c>
      <c r="F159" s="37" t="n">
        <f aca="false">F158/F146</f>
        <v>1.01</v>
      </c>
      <c r="G159" s="37" t="n">
        <f aca="false">G158/G146</f>
        <v>1.175</v>
      </c>
      <c r="H159" s="37" t="n">
        <f aca="false">H158/H146</f>
        <v>1.06</v>
      </c>
      <c r="I159" s="37" t="n">
        <f aca="false">I158/I146</f>
        <v>1.02</v>
      </c>
      <c r="J159" s="37" t="n">
        <f aca="false">J158/J146</f>
        <v>1.02</v>
      </c>
      <c r="K159" s="37" t="n">
        <f aca="false">K158/K146</f>
        <v>1</v>
      </c>
      <c r="L159" s="37" t="n">
        <f aca="false">L158/L146</f>
        <v>1</v>
      </c>
      <c r="O159" s="2" t="s">
        <v>206</v>
      </c>
      <c r="Q159" s="39" t="n">
        <f aca="false">Q157-Assumptions!$C$5</f>
        <v>75</v>
      </c>
      <c r="R159" s="38" t="n">
        <f aca="false">R157-Q157</f>
        <v>-25</v>
      </c>
      <c r="S159" s="39" t="n">
        <f aca="false">S157-R157</f>
        <v>-25</v>
      </c>
      <c r="T159" s="39" t="n">
        <f aca="false">T157-S157</f>
        <v>25</v>
      </c>
      <c r="U159" s="39" t="n">
        <f aca="false">U157-T157</f>
        <v>0</v>
      </c>
      <c r="V159" s="39" t="n">
        <f aca="false">V157-U157</f>
        <v>-25</v>
      </c>
      <c r="W159" s="39" t="n">
        <f aca="false">W157-V157</f>
        <v>0</v>
      </c>
      <c r="X159" s="39" t="n">
        <f aca="false">X157-W157</f>
        <v>0</v>
      </c>
      <c r="Y159" s="39" t="n">
        <f aca="false">Y157-X157</f>
        <v>0</v>
      </c>
    </row>
    <row r="160" customFormat="false" ht="15" hidden="false" customHeight="false" outlineLevel="0" collapsed="false">
      <c r="B160" s="2" t="s">
        <v>206</v>
      </c>
      <c r="D160" s="39" t="n">
        <f aca="false">D158-Assumptions!$C$5</f>
        <v>75</v>
      </c>
      <c r="E160" s="38" t="n">
        <f aca="false">E158-D158</f>
        <v>-21.25</v>
      </c>
      <c r="F160" s="39" t="n">
        <f aca="false">F158-E158</f>
        <v>-27.5</v>
      </c>
      <c r="G160" s="39" t="n">
        <f aca="false">G158-F158</f>
        <v>50</v>
      </c>
      <c r="H160" s="39" t="n">
        <f aca="false">H158-G158</f>
        <v>-43.75</v>
      </c>
      <c r="I160" s="39" t="n">
        <f aca="false">I158-H158</f>
        <v>-5</v>
      </c>
      <c r="J160" s="39" t="n">
        <f aca="false">J158-I158</f>
        <v>0</v>
      </c>
      <c r="K160" s="39" t="n">
        <f aca="false">K158-J158</f>
        <v>-2.5</v>
      </c>
      <c r="L160" s="39" t="n">
        <f aca="false">L158-K158</f>
        <v>0</v>
      </c>
      <c r="R160" s="34"/>
    </row>
    <row r="161" customFormat="false" ht="15" hidden="false" customHeight="false" outlineLevel="0" collapsed="false">
      <c r="E161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2026-08-11T21:28:46Z</dcterms:created>
  <dc:creator>openpyxl</dc:creator>
  <dc:description/>
  <dc:language>en-US</dc:language>
  <cp:lastModifiedBy/>
  <dcterms:modified xsi:type="dcterms:W3CDTF">2026-08-11T21:28:46Z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